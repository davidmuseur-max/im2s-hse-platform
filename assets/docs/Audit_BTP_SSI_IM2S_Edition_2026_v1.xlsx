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verture" sheetId="1" state="visible" r:id="rId1"/>
    <sheet xmlns:r="http://schemas.openxmlformats.org/officeDocument/2006/relationships" name="Tableau de bord" sheetId="2" state="visible" r:id="rId2"/>
    <sheet xmlns:r="http://schemas.openxmlformats.org/officeDocument/2006/relationships" name="Référentiel" sheetId="3" state="visible" r:id="rId3"/>
    <sheet xmlns:r="http://schemas.openxmlformats.org/officeDocument/2006/relationships" name="Audit" sheetId="4" state="visible" r:id="rId4"/>
    <sheet xmlns:r="http://schemas.openxmlformats.org/officeDocument/2006/relationships" name="Plan d'action" sheetId="5" state="visible" r:id="rId5"/>
    <sheet xmlns:r="http://schemas.openxmlformats.org/officeDocument/2006/relationships" name="KPI H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A00D1A"/>
      <sz val="22"/>
    </font>
    <font>
      <name val="Arial"/>
      <b val="1"/>
      <color rgb="005A5B5C"/>
      <sz val="16"/>
    </font>
    <font>
      <name val="Arial"/>
      <i val="1"/>
      <sz val="11"/>
    </font>
    <font>
      <name val="Arial"/>
      <b val="1"/>
      <color rgb="00A00D1A"/>
      <sz val="12"/>
    </font>
    <font>
      <name val="Arial"/>
      <b val="1"/>
      <sz val="10"/>
    </font>
    <font>
      <name val="Arial"/>
      <sz val="10"/>
    </font>
    <font>
      <name val="Arial"/>
      <i val="1"/>
      <color rgb="005A5B5C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A00D1A"/>
      <sz val="18"/>
    </font>
  </fonts>
  <fills count="4">
    <fill>
      <patternFill/>
    </fill>
    <fill>
      <patternFill patternType="gray125"/>
    </fill>
    <fill>
      <patternFill patternType="solid">
        <fgColor rgb="00A00D1A"/>
        <bgColor rgb="00A00D1A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0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9" fillId="3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3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ill>
        <patternFill patternType="solid">
          <fgColor rgb="00EF9A9A"/>
          <bgColor rgb="00EF9A9A"/>
        </patternFill>
      </fill>
    </dxf>
    <dxf>
      <fill>
        <patternFill patternType="solid">
          <fgColor rgb="00FFCC80"/>
          <bgColor rgb="00FFCC80"/>
        </patternFill>
      </fill>
    </dxf>
    <dxf>
      <fill>
        <patternFill patternType="solid">
          <fgColor rgb="00FFF59D"/>
          <bgColor rgb="00FFF59D"/>
        </patternFill>
      </fill>
    </dxf>
    <dxf>
      <fill>
        <patternFill patternType="solid">
          <fgColor rgb="00C8E6C9"/>
          <bgColor rgb="00C8E6C9"/>
        </patternFill>
      </fill>
    </dxf>
    <dxf>
      <fill>
        <patternFill patternType="solid">
          <fgColor rgb="00E0E0E0"/>
          <bgColor rgb="00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Maturité HSE par catégorie (%)</a:t>
            </a:r>
          </a:p>
        </rich>
      </tx>
    </title>
    <plotArea>
      <radarChart>
        <radarStyle val="filled"/>
        <ser>
          <idx val="0"/>
          <order val="0"/>
          <tx>
            <strRef>
              <f>'Tableau de bord'!G4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'Tableau de bord'!$B$5:$B$15</f>
            </numRef>
          </cat>
          <val>
            <numRef>
              <f>'Tableau de bord'!$G$5:$G$15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AUDIT EXCEL SECTORIEL BTP-SSI</t>
        </is>
      </c>
    </row>
    <row r="3">
      <c r="B3" s="2" t="inlineStr">
        <is>
          <t>IM2S PROTECTION INCENDIE — Édition 2026 v1</t>
        </is>
      </c>
    </row>
    <row r="5">
      <c r="B5" s="3" t="inlineStr">
        <is>
          <t>Établi par : LENAXIS / SECURE — David MUSEUR</t>
        </is>
      </c>
    </row>
    <row r="6">
      <c r="B6" s="3" t="inlineStr">
        <is>
          <t>Date d'établissement : 27 mai 2026</t>
        </is>
      </c>
    </row>
    <row r="8">
      <c r="B8" s="4" t="inlineStr">
        <is>
          <t>CONTENU DU CLASSEUR</t>
        </is>
      </c>
    </row>
    <row r="9">
      <c r="B9" s="5" t="inlineStr">
        <is>
          <t>1. Couverture</t>
        </is>
      </c>
      <c r="D9" s="6" t="inlineStr">
        <is>
          <t>Cette feuille — présentation et mode d'emploi</t>
        </is>
      </c>
    </row>
    <row r="10">
      <c r="B10" s="5" t="inlineStr">
        <is>
          <t>2. Tableau de bord</t>
        </is>
      </c>
      <c r="D10" s="6" t="inlineStr">
        <is>
          <t>Synthèse, scores par catégorie, graphique radar, indicateurs</t>
        </is>
      </c>
    </row>
    <row r="11">
      <c r="B11" s="5" t="inlineStr">
        <is>
          <t>3. Référentiel</t>
        </is>
      </c>
      <c r="D11" s="6" t="inlineStr">
        <is>
          <t>Liste des 11 catégories et leurs 397 critères</t>
        </is>
      </c>
    </row>
    <row r="12">
      <c r="B12" s="5" t="inlineStr">
        <is>
          <t>4. Audit</t>
        </is>
      </c>
      <c r="D12" s="6" t="inlineStr">
        <is>
          <t>Cœur du document — 397 critères à évaluer (Oui/Non/NR), avec cotation, commentaire, action, échéance, responsable</t>
        </is>
      </c>
    </row>
    <row r="13">
      <c r="B13" s="5" t="inlineStr">
        <is>
          <t>5. Plan d'action</t>
        </is>
      </c>
      <c r="D13" s="6" t="inlineStr">
        <is>
          <t>Liste filtrée des actions à conduire issues de l'audit</t>
        </is>
      </c>
    </row>
    <row r="14">
      <c r="B14" s="5" t="inlineStr">
        <is>
          <t>6. KPI HSE</t>
        </is>
      </c>
      <c r="D14" s="6" t="inlineStr">
        <is>
          <t>Tableau des indicateurs de suivi annuel</t>
        </is>
      </c>
    </row>
    <row r="17">
      <c r="B17" s="4" t="inlineStr">
        <is>
          <t>MODE D'EMPLOI</t>
        </is>
      </c>
    </row>
    <row r="18">
      <c r="B18" s="6" t="inlineStr">
        <is>
          <t>1. Renseigner chaque critère dans la feuille « Audit » : colonne Réponse (Oui / Non / Non renseigné / Sans objet).</t>
        </is>
      </c>
    </row>
    <row r="19">
      <c r="B19" s="6" t="inlineStr">
        <is>
          <t>2. Coter la Note (1 = bonne maîtrise → 4 = défaillance grave) — laisser vide si Sans objet.</t>
        </is>
      </c>
    </row>
    <row r="20">
      <c r="B20" s="6" t="inlineStr">
        <is>
          <t>3. Indiquer Maîtrise (Oui / Partielle / Non).</t>
        </is>
      </c>
    </row>
    <row r="21">
      <c r="B21" s="6" t="inlineStr">
        <is>
          <t>4. Saisir un commentaire libre (constat sur site, preuve, document associé).</t>
        </is>
      </c>
    </row>
    <row r="22">
      <c r="B22" s="6" t="inlineStr">
        <is>
          <t>5. Pour les non-conformités, formuler une Action corrective avec Échéance et Responsable.</t>
        </is>
      </c>
    </row>
    <row r="23">
      <c r="B23" s="6" t="inlineStr">
        <is>
          <t>6. La feuille « Tableau de bord » se met à jour automatiquement (scores, radar).</t>
        </is>
      </c>
    </row>
    <row r="24">
      <c r="B24" s="6" t="inlineStr">
        <is>
          <t>7. Le « Plan d'action » filtre automatiquement les non-conformités (Réponse = Non ou Note ≥ 3).</t>
        </is>
      </c>
    </row>
    <row r="27">
      <c r="B27" s="7" t="inlineStr">
        <is>
          <t>CHARTE GRAPHIQUE IM2S — Rouge #A00D1A — Gris #5A5B5C</t>
        </is>
      </c>
    </row>
  </sheetData>
  <mergeCells count="26">
    <mergeCell ref="D10:H10"/>
    <mergeCell ref="B6:H6"/>
    <mergeCell ref="B24:H24"/>
    <mergeCell ref="B5:H5"/>
    <mergeCell ref="B20:H20"/>
    <mergeCell ref="B12:C12"/>
    <mergeCell ref="B11:C11"/>
    <mergeCell ref="D11:H11"/>
    <mergeCell ref="D13:H13"/>
    <mergeCell ref="B14:C14"/>
    <mergeCell ref="B3:H3"/>
    <mergeCell ref="B13:C13"/>
    <mergeCell ref="B22:H22"/>
    <mergeCell ref="B18:H18"/>
    <mergeCell ref="B27:H27"/>
    <mergeCell ref="B21:H21"/>
    <mergeCell ref="B10:C10"/>
    <mergeCell ref="B2:H2"/>
    <mergeCell ref="B9:C9"/>
    <mergeCell ref="D9:H9"/>
    <mergeCell ref="B23:H23"/>
    <mergeCell ref="B8:H8"/>
    <mergeCell ref="D12:H12"/>
    <mergeCell ref="B17:H17"/>
    <mergeCell ref="D14:H14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8" t="inlineStr">
        <is>
          <t>TABLEAU DE BORD HSE — IM2S PROTECTION INCENDIE</t>
        </is>
      </c>
    </row>
    <row r="4">
      <c r="B4" s="9" t="inlineStr">
        <is>
          <t>Catégorie</t>
        </is>
      </c>
      <c r="C4" s="9" t="inlineStr">
        <is>
          <t>Nb critères</t>
        </is>
      </c>
      <c r="D4" s="9" t="inlineStr">
        <is>
          <t>Évalués</t>
        </is>
      </c>
      <c r="E4" s="9" t="inlineStr">
        <is>
          <t>Conformes (Oui)</t>
        </is>
      </c>
      <c r="F4" s="9" t="inlineStr">
        <is>
          <t>Non conformes (Non)</t>
        </is>
      </c>
      <c r="G4" s="9" t="inlineStr">
        <is>
          <t>Score</t>
        </is>
      </c>
    </row>
    <row r="5">
      <c r="B5" s="10" t="inlineStr">
        <is>
          <t>A. Hauteur &amp; EPI antichute</t>
        </is>
      </c>
      <c r="C5" s="11">
        <f>COUNTIF(Audit!A:A,B5)</f>
        <v/>
      </c>
      <c r="D5" s="11">
        <f>COUNTIFS(Audit!A:A,B5,Audit!F:F,"&lt;&gt;")</f>
        <v/>
      </c>
      <c r="E5" s="11">
        <f>COUNTIFS(Audit!A:A,B5,Audit!F:F,"Oui")</f>
        <v/>
      </c>
      <c r="F5" s="11">
        <f>COUNTIFS(Audit!A:A,B5,Audit!F:F,"Non")</f>
        <v/>
      </c>
      <c r="G5" s="11">
        <f>IFERROR(ROUND(E5/(E5+F5)*100,0),0)</f>
        <v/>
      </c>
    </row>
    <row r="6">
      <c r="B6" s="10" t="inlineStr">
        <is>
          <t>B. Électricité &amp; habilitations</t>
        </is>
      </c>
      <c r="C6" s="11">
        <f>COUNTIF(Audit!A:A,B6)</f>
        <v/>
      </c>
      <c r="D6" s="11">
        <f>COUNTIFS(Audit!A:A,B6,Audit!F:F,"&lt;&gt;")</f>
        <v/>
      </c>
      <c r="E6" s="11">
        <f>COUNTIFS(Audit!A:A,B6,Audit!F:F,"Oui")</f>
        <v/>
      </c>
      <c r="F6" s="11">
        <f>COUNTIFS(Audit!A:A,B6,Audit!F:F,"Non")</f>
        <v/>
      </c>
      <c r="G6" s="11">
        <f>IFERROR(ROUND(E6/(E6+F6)*100,0),0)</f>
        <v/>
      </c>
    </row>
    <row r="7">
      <c r="B7" s="10" t="inlineStr">
        <is>
          <t>C. Incendie &amp; explosion</t>
        </is>
      </c>
      <c r="C7" s="11">
        <f>COUNTIF(Audit!A:A,B7)</f>
        <v/>
      </c>
      <c r="D7" s="11">
        <f>COUNTIFS(Audit!A:A,B7,Audit!F:F,"&lt;&gt;")</f>
        <v/>
      </c>
      <c r="E7" s="11">
        <f>COUNTIFS(Audit!A:A,B7,Audit!F:F,"Oui")</f>
        <v/>
      </c>
      <c r="F7" s="11">
        <f>COUNTIFS(Audit!A:A,B7,Audit!F:F,"Non")</f>
        <v/>
      </c>
      <c r="G7" s="11">
        <f>IFERROR(ROUND(E7/(E7+F7)*100,0),0)</f>
        <v/>
      </c>
    </row>
    <row r="8">
      <c r="B8" s="10" t="inlineStr">
        <is>
          <t>D. Manutention &amp; TMS</t>
        </is>
      </c>
      <c r="C8" s="11">
        <f>COUNTIF(Audit!A:A,B8)</f>
        <v/>
      </c>
      <c r="D8" s="11">
        <f>COUNTIFS(Audit!A:A,B8,Audit!F:F,"&lt;&gt;")</f>
        <v/>
      </c>
      <c r="E8" s="11">
        <f>COUNTIFS(Audit!A:A,B8,Audit!F:F,"Oui")</f>
        <v/>
      </c>
      <c r="F8" s="11">
        <f>COUNTIFS(Audit!A:A,B8,Audit!F:F,"Non")</f>
        <v/>
      </c>
      <c r="G8" s="11">
        <f>IFERROR(ROUND(E8/(E8+F8)*100,0),0)</f>
        <v/>
      </c>
    </row>
    <row r="9">
      <c r="B9" s="10" t="inlineStr">
        <is>
          <t>E. Risque routier</t>
        </is>
      </c>
      <c r="C9" s="11">
        <f>COUNTIF(Audit!A:A,B9)</f>
        <v/>
      </c>
      <c r="D9" s="11">
        <f>COUNTIFS(Audit!A:A,B9,Audit!F:F,"&lt;&gt;")</f>
        <v/>
      </c>
      <c r="E9" s="11">
        <f>COUNTIFS(Audit!A:A,B9,Audit!F:F,"Oui")</f>
        <v/>
      </c>
      <c r="F9" s="11">
        <f>COUNTIFS(Audit!A:A,B9,Audit!F:F,"Non")</f>
        <v/>
      </c>
      <c r="G9" s="11">
        <f>IFERROR(ROUND(E9/(E9+F9)*100,0),0)</f>
        <v/>
      </c>
    </row>
    <row r="10">
      <c r="B10" s="10" t="inlineStr">
        <is>
          <t>F. Risque chimique &amp; poussières</t>
        </is>
      </c>
      <c r="C10" s="11">
        <f>COUNTIF(Audit!A:A,B10)</f>
        <v/>
      </c>
      <c r="D10" s="11">
        <f>COUNTIFS(Audit!A:A,B10,Audit!F:F,"&lt;&gt;")</f>
        <v/>
      </c>
      <c r="E10" s="11">
        <f>COUNTIFS(Audit!A:A,B10,Audit!F:F,"Oui")</f>
        <v/>
      </c>
      <c r="F10" s="11">
        <f>COUNTIFS(Audit!A:A,B10,Audit!F:F,"Non")</f>
        <v/>
      </c>
      <c r="G10" s="11">
        <f>IFERROR(ROUND(E10/(E10+F10)*100,0),0)</f>
        <v/>
      </c>
    </row>
    <row r="11">
      <c r="B11" s="10" t="inlineStr">
        <is>
          <t>G. Amiante &amp; plomb</t>
        </is>
      </c>
      <c r="C11" s="11">
        <f>COUNTIF(Audit!A:A,B11)</f>
        <v/>
      </c>
      <c r="D11" s="11">
        <f>COUNTIFS(Audit!A:A,B11,Audit!F:F,"&lt;&gt;")</f>
        <v/>
      </c>
      <c r="E11" s="11">
        <f>COUNTIFS(Audit!A:A,B11,Audit!F:F,"Oui")</f>
        <v/>
      </c>
      <c r="F11" s="11">
        <f>COUNTIFS(Audit!A:A,B11,Audit!F:F,"Non")</f>
        <v/>
      </c>
      <c r="G11" s="11">
        <f>IFERROR(ROUND(E11/(E11+F11)*100,0),0)</f>
        <v/>
      </c>
    </row>
    <row r="12">
      <c r="B12" s="10" t="inlineStr">
        <is>
          <t>H. Co-activité &amp; plan de prévention</t>
        </is>
      </c>
      <c r="C12" s="11">
        <f>COUNTIF(Audit!A:A,B12)</f>
        <v/>
      </c>
      <c r="D12" s="11">
        <f>COUNTIFS(Audit!A:A,B12,Audit!F:F,"&lt;&gt;")</f>
        <v/>
      </c>
      <c r="E12" s="11">
        <f>COUNTIFS(Audit!A:A,B12,Audit!F:F,"Oui")</f>
        <v/>
      </c>
      <c r="F12" s="11">
        <f>COUNTIFS(Audit!A:A,B12,Audit!F:F,"Non")</f>
        <v/>
      </c>
      <c r="G12" s="11">
        <f>IFERROR(ROUND(E12/(E12+F12)*100,0),0)</f>
        <v/>
      </c>
    </row>
    <row r="13">
      <c r="B13" s="10" t="inlineStr">
        <is>
          <t>I. RPS, organisation, charge mentale</t>
        </is>
      </c>
      <c r="C13" s="11">
        <f>COUNTIF(Audit!A:A,B13)</f>
        <v/>
      </c>
      <c r="D13" s="11">
        <f>COUNTIFS(Audit!A:A,B13,Audit!F:F,"&lt;&gt;")</f>
        <v/>
      </c>
      <c r="E13" s="11">
        <f>COUNTIFS(Audit!A:A,B13,Audit!F:F,"Oui")</f>
        <v/>
      </c>
      <c r="F13" s="11">
        <f>COUNTIFS(Audit!A:A,B13,Audit!F:F,"Non")</f>
        <v/>
      </c>
      <c r="G13" s="11">
        <f>IFERROR(ROUND(E13/(E13+F13)*100,0),0)</f>
        <v/>
      </c>
    </row>
    <row r="14">
      <c r="B14" s="10" t="inlineStr">
        <is>
          <t>J. Bruit, vibrations, ambiances physiques</t>
        </is>
      </c>
      <c r="C14" s="11">
        <f>COUNTIF(Audit!A:A,B14)</f>
        <v/>
      </c>
      <c r="D14" s="11">
        <f>COUNTIFS(Audit!A:A,B14,Audit!F:F,"&lt;&gt;")</f>
        <v/>
      </c>
      <c r="E14" s="11">
        <f>COUNTIFS(Audit!A:A,B14,Audit!F:F,"Oui")</f>
        <v/>
      </c>
      <c r="F14" s="11">
        <f>COUNTIFS(Audit!A:A,B14,Audit!F:F,"Non")</f>
        <v/>
      </c>
      <c r="G14" s="11">
        <f>IFERROR(ROUND(E14/(E14+F14)*100,0),0)</f>
        <v/>
      </c>
    </row>
    <row r="15">
      <c r="B15" s="10" t="inlineStr">
        <is>
          <t>K. Organisation, formation, suivi</t>
        </is>
      </c>
      <c r="C15" s="11">
        <f>COUNTIF(Audit!A:A,B15)</f>
        <v/>
      </c>
      <c r="D15" s="11">
        <f>COUNTIFS(Audit!A:A,B15,Audit!F:F,"&lt;&gt;")</f>
        <v/>
      </c>
      <c r="E15" s="11">
        <f>COUNTIFS(Audit!A:A,B15,Audit!F:F,"Oui")</f>
        <v/>
      </c>
      <c r="F15" s="11">
        <f>COUNTIFS(Audit!A:A,B15,Audit!F:F,"Non")</f>
        <v/>
      </c>
      <c r="G15" s="11">
        <f>IFERROR(ROUND(E15/(E15+F15)*100,0),0)</f>
        <v/>
      </c>
    </row>
    <row r="16">
      <c r="B16" s="9" t="inlineStr">
        <is>
          <t>TOTAL / SCORE GLOBAL</t>
        </is>
      </c>
      <c r="C16" s="9">
        <f>SUM(C5:C15)</f>
        <v/>
      </c>
      <c r="D16" s="9">
        <f>SUM(D5:D15)</f>
        <v/>
      </c>
      <c r="E16" s="9">
        <f>SUM(E5:E15)</f>
        <v/>
      </c>
      <c r="F16" s="9">
        <f>SUM(F5:F15)</f>
        <v/>
      </c>
      <c r="G16" s="9">
        <f>IFERROR(ROUND(E16/(E16+F16)*100,0),0)</f>
        <v/>
      </c>
    </row>
    <row r="19">
      <c r="B19" s="4" t="inlineStr">
        <is>
          <t>INDICATEURS DE SYNTHÈSE</t>
        </is>
      </c>
    </row>
    <row r="20">
      <c r="B20" s="12" t="inlineStr">
        <is>
          <t>Nb total de critères</t>
        </is>
      </c>
      <c r="C20" s="13">
        <f>C16</f>
        <v/>
      </c>
    </row>
    <row r="21">
      <c r="B21" s="12" t="inlineStr">
        <is>
          <t>Nb de critères évalués</t>
        </is>
      </c>
      <c r="C21" s="13">
        <f>D16</f>
        <v/>
      </c>
    </row>
    <row r="22">
      <c r="B22" s="12" t="inlineStr">
        <is>
          <t>Taux d'évaluation (%)</t>
        </is>
      </c>
      <c r="C22" s="13">
        <f>IFERROR(ROUND(D16/C16*100,0),0)</f>
        <v/>
      </c>
    </row>
    <row r="23">
      <c r="B23" s="12" t="inlineStr">
        <is>
          <t>Nb conformes</t>
        </is>
      </c>
      <c r="C23" s="13">
        <f>E16</f>
        <v/>
      </c>
    </row>
    <row r="24">
      <c r="B24" s="12" t="inlineStr">
        <is>
          <t>Nb non-conformes</t>
        </is>
      </c>
      <c r="C24" s="13">
        <f>F16</f>
        <v/>
      </c>
    </row>
    <row r="25">
      <c r="B25" s="12" t="inlineStr">
        <is>
          <t>Score global de conformité (%)</t>
        </is>
      </c>
      <c r="C25" s="13">
        <f>G16</f>
        <v/>
      </c>
    </row>
    <row r="26">
      <c r="B26" s="12" t="inlineStr">
        <is>
          <t>Actions critiques (Note = 4)</t>
        </is>
      </c>
      <c r="C26" s="13">
        <f>COUNTIF(Audit!G:G,4)</f>
        <v/>
      </c>
    </row>
    <row r="27">
      <c r="B27" s="12" t="inlineStr">
        <is>
          <t>Actions élevées (Note = 3)</t>
        </is>
      </c>
      <c r="C27" s="13">
        <f>COUNTIF(Audit!G:G,3)</f>
        <v/>
      </c>
    </row>
  </sheetData>
  <mergeCells count="10">
    <mergeCell ref="B2:G2"/>
    <mergeCell ref="B19:G19"/>
    <mergeCell ref="B26"/>
    <mergeCell ref="B21"/>
    <mergeCell ref="B25"/>
    <mergeCell ref="B24"/>
    <mergeCell ref="B20"/>
    <mergeCell ref="B22"/>
    <mergeCell ref="B23"/>
    <mergeCell ref="B27"/>
  </mergeCells>
  <conditionalFormatting sqref="G5:G16">
    <cfRule type="colorScale" priority="1">
      <colorScale>
        <cfvo type="num" val="0"/>
        <cfvo type="num" val="60"/>
        <cfvo type="num" val="100"/>
        <color rgb="00EF9A9A"/>
        <color rgb="00FFF59D"/>
        <color rgb="00C8E6C9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0" customWidth="1" min="3" max="3"/>
    <col width="60" customWidth="1" min="4" max="4"/>
    <col width="25" customWidth="1" min="5" max="5"/>
  </cols>
  <sheetData>
    <row r="1" ht="30" customHeight="1">
      <c r="A1" s="9" t="inlineStr">
        <is>
          <t>Catégorie</t>
        </is>
      </c>
      <c r="B1" s="9" t="inlineStr">
        <is>
          <t>Sous-catégorie</t>
        </is>
      </c>
      <c r="C1" s="9" t="inlineStr">
        <is>
          <t>Code</t>
        </is>
      </c>
      <c r="D1" s="9" t="inlineStr">
        <is>
          <t>Critère</t>
        </is>
      </c>
      <c r="E1" s="9" t="inlineStr">
        <is>
          <t>Référence réglementaire/technique</t>
        </is>
      </c>
    </row>
    <row r="2">
      <c r="A2" s="14" t="inlineStr">
        <is>
          <t>A. Hauteur &amp; EPI antichute</t>
        </is>
      </c>
      <c r="B2" s="14" t="inlineStr">
        <is>
          <t>Échafaudages</t>
        </is>
      </c>
      <c r="C2" s="15" t="inlineStr">
        <is>
          <t>A.01</t>
        </is>
      </c>
      <c r="D2" s="16" t="inlineStr">
        <is>
          <t>Échafaudages utilisés conformes à la norme NF EN 12810/12811</t>
        </is>
      </c>
      <c r="E2" s="17" t="inlineStr">
        <is>
          <t>NF EN 12810/12811</t>
        </is>
      </c>
    </row>
    <row r="3">
      <c r="A3" s="14" t="inlineStr">
        <is>
          <t>A. Hauteur &amp; EPI antichute</t>
        </is>
      </c>
      <c r="B3" s="14" t="inlineStr">
        <is>
          <t>Échafaudages</t>
        </is>
      </c>
      <c r="C3" s="15" t="inlineStr">
        <is>
          <t>A.02</t>
        </is>
      </c>
      <c r="D3" s="16" t="inlineStr">
        <is>
          <t>Montage / démontage par personne formée (R.408 CARSAT)</t>
        </is>
      </c>
      <c r="E3" s="17" t="inlineStr">
        <is>
          <t>Reco. CARSAT R.408</t>
        </is>
      </c>
    </row>
    <row r="4">
      <c r="A4" s="14" t="inlineStr">
        <is>
          <t>A. Hauteur &amp; EPI antichute</t>
        </is>
      </c>
      <c r="B4" s="14" t="inlineStr">
        <is>
          <t>Échafaudages</t>
        </is>
      </c>
      <c r="C4" s="15" t="inlineStr">
        <is>
          <t>A.03</t>
        </is>
      </c>
      <c r="D4" s="16" t="inlineStr">
        <is>
          <t>Examen avant mise en service consigné dans le registre</t>
        </is>
      </c>
      <c r="E4" s="17" t="inlineStr">
        <is>
          <t>Art. R.4323-69</t>
        </is>
      </c>
    </row>
    <row r="5">
      <c r="A5" s="14" t="inlineStr">
        <is>
          <t>A. Hauteur &amp; EPI antichute</t>
        </is>
      </c>
      <c r="B5" s="14" t="inlineStr">
        <is>
          <t>Échafaudages</t>
        </is>
      </c>
      <c r="C5" s="15" t="inlineStr">
        <is>
          <t>A.04</t>
        </is>
      </c>
      <c r="D5" s="16" t="inlineStr">
        <is>
          <t>Examen journalier de l'état de conservation avant utilisation</t>
        </is>
      </c>
      <c r="E5" s="17" t="inlineStr">
        <is>
          <t>Art. R.4323-70</t>
        </is>
      </c>
    </row>
    <row r="6">
      <c r="A6" s="14" t="inlineStr">
        <is>
          <t>A. Hauteur &amp; EPI antichute</t>
        </is>
      </c>
      <c r="B6" s="14" t="inlineStr">
        <is>
          <t>Échafaudages</t>
        </is>
      </c>
      <c r="C6" s="15" t="inlineStr">
        <is>
          <t>A.05</t>
        </is>
      </c>
      <c r="D6" s="16" t="inlineStr">
        <is>
          <t>Examen trimestriel de fonctionnement et conformité</t>
        </is>
      </c>
      <c r="E6" s="17" t="inlineStr">
        <is>
          <t>Art. R.4323-71</t>
        </is>
      </c>
    </row>
    <row r="7">
      <c r="A7" s="14" t="inlineStr">
        <is>
          <t>A. Hauteur &amp; EPI antichute</t>
        </is>
      </c>
      <c r="B7" s="14" t="inlineStr">
        <is>
          <t>Échafaudages</t>
        </is>
      </c>
      <c r="C7" s="15" t="inlineStr">
        <is>
          <t>A.06</t>
        </is>
      </c>
      <c r="D7" s="16" t="inlineStr">
        <is>
          <t>Plinthes de pied (≥ 15 cm) sur tous les niveaux de travail</t>
        </is>
      </c>
      <c r="E7" s="17" t="inlineStr">
        <is>
          <t>Art. R.4323-59</t>
        </is>
      </c>
    </row>
    <row r="8">
      <c r="A8" s="14" t="inlineStr">
        <is>
          <t>A. Hauteur &amp; EPI antichute</t>
        </is>
      </c>
      <c r="B8" s="14" t="inlineStr">
        <is>
          <t>Échafaudages</t>
        </is>
      </c>
      <c r="C8" s="15" t="inlineStr">
        <is>
          <t>A.07</t>
        </is>
      </c>
      <c r="D8" s="16" t="inlineStr">
        <is>
          <t>Garde-corps principal à 1 m + sous-lisse à 45 cm + plinthe</t>
        </is>
      </c>
      <c r="E8" s="17" t="inlineStr">
        <is>
          <t>Art. R.4323-59</t>
        </is>
      </c>
    </row>
    <row r="9">
      <c r="A9" s="14" t="inlineStr">
        <is>
          <t>A. Hauteur &amp; EPI antichute</t>
        </is>
      </c>
      <c r="B9" s="14" t="inlineStr">
        <is>
          <t>Échafaudages</t>
        </is>
      </c>
      <c r="C9" s="15" t="inlineStr">
        <is>
          <t>A.08</t>
        </is>
      </c>
      <c r="D9" s="16" t="inlineStr">
        <is>
          <t>Plancher complet, jointif, antidérapant</t>
        </is>
      </c>
      <c r="E9" s="17" t="inlineStr">
        <is>
          <t>Art. R.4323-69</t>
        </is>
      </c>
    </row>
    <row r="10">
      <c r="A10" s="14" t="inlineStr">
        <is>
          <t>A. Hauteur &amp; EPI antichute</t>
        </is>
      </c>
      <c r="B10" s="14" t="inlineStr">
        <is>
          <t>Échafaudages</t>
        </is>
      </c>
      <c r="C10" s="15" t="inlineStr">
        <is>
          <t>A.09</t>
        </is>
      </c>
      <c r="D10" s="16" t="inlineStr">
        <is>
          <t>Accès aux niveaux par échelle intérieure ou escalier</t>
        </is>
      </c>
      <c r="E10" s="17" t="inlineStr">
        <is>
          <t>Art. R.4323-69</t>
        </is>
      </c>
    </row>
    <row r="11">
      <c r="A11" s="14" t="inlineStr">
        <is>
          <t>A. Hauteur &amp; EPI antichute</t>
        </is>
      </c>
      <c r="B11" s="14" t="inlineStr">
        <is>
          <t>Échafaudages</t>
        </is>
      </c>
      <c r="C11" s="15" t="inlineStr">
        <is>
          <t>A.10</t>
        </is>
      </c>
      <c r="D11" s="16" t="inlineStr">
        <is>
          <t>Stabilisation par ancrages calculés (vent, charge, hauteur)</t>
        </is>
      </c>
      <c r="E11" s="17" t="inlineStr">
        <is>
          <t>NF EN 12811</t>
        </is>
      </c>
    </row>
    <row r="12">
      <c r="A12" s="14" t="inlineStr">
        <is>
          <t>A. Hauteur &amp; EPI antichute</t>
        </is>
      </c>
      <c r="B12" s="14" t="inlineStr">
        <is>
          <t>Échafaudages</t>
        </is>
      </c>
      <c r="C12" s="15" t="inlineStr">
        <is>
          <t>A.11</t>
        </is>
      </c>
      <c r="D12" s="16" t="inlineStr">
        <is>
          <t>Note de calcul disponible pour échafaudages &gt; 24 m</t>
        </is>
      </c>
      <c r="E12" s="17" t="inlineStr">
        <is>
          <t>Art. R.4323-69</t>
        </is>
      </c>
    </row>
    <row r="13">
      <c r="A13" s="14" t="inlineStr">
        <is>
          <t>A. Hauteur &amp; EPI antichute</t>
        </is>
      </c>
      <c r="B13" s="14" t="inlineStr">
        <is>
          <t>PEMP (nacelles)</t>
        </is>
      </c>
      <c r="C13" s="15" t="inlineStr">
        <is>
          <t>A.12</t>
        </is>
      </c>
      <c r="D13" s="16" t="inlineStr">
        <is>
          <t>CACES R.486 cat. A et/ou B en cours de validité (5 ans)</t>
        </is>
      </c>
      <c r="E13" s="17" t="inlineStr">
        <is>
          <t>Reco. CACES R.486</t>
        </is>
      </c>
    </row>
    <row r="14">
      <c r="A14" s="14" t="inlineStr">
        <is>
          <t>A. Hauteur &amp; EPI antichute</t>
        </is>
      </c>
      <c r="B14" s="14" t="inlineStr">
        <is>
          <t>PEMP (nacelles)</t>
        </is>
      </c>
      <c r="C14" s="15" t="inlineStr">
        <is>
          <t>A.13</t>
        </is>
      </c>
      <c r="D14" s="16" t="inlineStr">
        <is>
          <t>Autorisation de conduite délivrée par l'employeur (distincte du CACES)</t>
        </is>
      </c>
      <c r="E14" s="17" t="inlineStr">
        <is>
          <t>Art. R.4323-56</t>
        </is>
      </c>
    </row>
    <row r="15">
      <c r="A15" s="14" t="inlineStr">
        <is>
          <t>A. Hauteur &amp; EPI antichute</t>
        </is>
      </c>
      <c r="B15" s="14" t="inlineStr">
        <is>
          <t>PEMP (nacelles)</t>
        </is>
      </c>
      <c r="C15" s="15" t="inlineStr">
        <is>
          <t>A.14</t>
        </is>
      </c>
      <c r="D15" s="16" t="inlineStr">
        <is>
          <t>Vérification d'adéquation avant chaque utilisation (sol, dégagement, météo)</t>
        </is>
      </c>
      <c r="E15" s="17" t="inlineStr">
        <is>
          <t>Art. R.4323-22</t>
        </is>
      </c>
    </row>
    <row r="16">
      <c r="A16" s="14" t="inlineStr">
        <is>
          <t>A. Hauteur &amp; EPI antichute</t>
        </is>
      </c>
      <c r="B16" s="14" t="inlineStr">
        <is>
          <t>PEMP (nacelles)</t>
        </is>
      </c>
      <c r="C16" s="15" t="inlineStr">
        <is>
          <t>A.15</t>
        </is>
      </c>
      <c r="D16" s="16" t="inlineStr">
        <is>
          <t>VGP semestrielle (6 mois)</t>
        </is>
      </c>
      <c r="E16" s="17" t="inlineStr">
        <is>
          <t>Arrêté 01/03/2004</t>
        </is>
      </c>
    </row>
    <row r="17">
      <c r="A17" s="14" t="inlineStr">
        <is>
          <t>A. Hauteur &amp; EPI antichute</t>
        </is>
      </c>
      <c r="B17" s="14" t="inlineStr">
        <is>
          <t>PEMP (nacelles)</t>
        </is>
      </c>
      <c r="C17" s="15" t="inlineStr">
        <is>
          <t>A.16</t>
        </is>
      </c>
      <c r="D17" s="16" t="inlineStr">
        <is>
          <t>Port systématique du harnais avec longe courte attachée au point d'ancrage nacelle</t>
        </is>
      </c>
      <c r="E17" s="17" t="inlineStr">
        <is>
          <t>Art. R.4323-104</t>
        </is>
      </c>
    </row>
    <row r="18">
      <c r="A18" s="14" t="inlineStr">
        <is>
          <t>A. Hauteur &amp; EPI antichute</t>
        </is>
      </c>
      <c r="B18" s="14" t="inlineStr">
        <is>
          <t>PEMP (nacelles)</t>
        </is>
      </c>
      <c r="C18" s="15" t="inlineStr">
        <is>
          <t>A.17</t>
        </is>
      </c>
      <c r="D18" s="16" t="inlineStr">
        <is>
          <t>Limitation d'usage par vent &gt; 45 km/h ou conditions exceptionnelles</t>
        </is>
      </c>
      <c r="E18" s="17" t="inlineStr">
        <is>
          <t>Notice constructeur</t>
        </is>
      </c>
    </row>
    <row r="19">
      <c r="A19" s="14" t="inlineStr">
        <is>
          <t>A. Hauteur &amp; EPI antichute</t>
        </is>
      </c>
      <c r="B19" s="14" t="inlineStr">
        <is>
          <t>Échelles, escabeaux</t>
        </is>
      </c>
      <c r="C19" s="15" t="inlineStr">
        <is>
          <t>A.18</t>
        </is>
      </c>
      <c r="D19" s="16" t="inlineStr">
        <is>
          <t>Note interne : échelle = moyen d'accès, pas poste de travail</t>
        </is>
      </c>
      <c r="E19" s="17" t="inlineStr">
        <is>
          <t>Art. R.4323-63</t>
        </is>
      </c>
    </row>
    <row r="20">
      <c r="A20" s="14" t="inlineStr">
        <is>
          <t>A. Hauteur &amp; EPI antichute</t>
        </is>
      </c>
      <c r="B20" s="14" t="inlineStr">
        <is>
          <t>Échelles, escabeaux</t>
        </is>
      </c>
      <c r="C20" s="15" t="inlineStr">
        <is>
          <t>A.19</t>
        </is>
      </c>
      <c r="D20" s="16" t="inlineStr">
        <is>
          <t>Inventaire des échelles et escabeaux, marquage individuel</t>
        </is>
      </c>
      <c r="E20" s="17" t="inlineStr">
        <is>
          <t>Art. R.4323-99</t>
        </is>
      </c>
    </row>
    <row r="21">
      <c r="A21" s="14" t="inlineStr">
        <is>
          <t>A. Hauteur &amp; EPI antichute</t>
        </is>
      </c>
      <c r="B21" s="14" t="inlineStr">
        <is>
          <t>Échelles, escabeaux</t>
        </is>
      </c>
      <c r="C21" s="15" t="inlineStr">
        <is>
          <t>A.20</t>
        </is>
      </c>
      <c r="D21" s="16" t="inlineStr">
        <is>
          <t>Vérification visuelle quotidienne par l'utilisateur</t>
        </is>
      </c>
      <c r="E21" s="17" t="inlineStr">
        <is>
          <t>Art. R.4323-99</t>
        </is>
      </c>
    </row>
    <row r="22">
      <c r="A22" s="14" t="inlineStr">
        <is>
          <t>A. Hauteur &amp; EPI antichute</t>
        </is>
      </c>
      <c r="B22" s="14" t="inlineStr">
        <is>
          <t>Échelles, escabeaux</t>
        </is>
      </c>
      <c r="C22" s="15" t="inlineStr">
        <is>
          <t>A.21</t>
        </is>
      </c>
      <c r="D22" s="16" t="inlineStr">
        <is>
          <t>Mise au rebut des matériels endommagés (registre des réformes)</t>
        </is>
      </c>
      <c r="E22" s="17" t="inlineStr">
        <is>
          <t>Art. R.4323-99</t>
        </is>
      </c>
    </row>
    <row r="23">
      <c r="A23" s="14" t="inlineStr">
        <is>
          <t>A. Hauteur &amp; EPI antichute</t>
        </is>
      </c>
      <c r="B23" s="14" t="inlineStr">
        <is>
          <t>Échelles, escabeaux</t>
        </is>
      </c>
      <c r="C23" s="15" t="inlineStr">
        <is>
          <t>A.22</t>
        </is>
      </c>
      <c r="D23" s="16" t="inlineStr">
        <is>
          <t>PIRL préférée pour interventions ponctuelles &lt; 3 m</t>
        </is>
      </c>
      <c r="E23" s="17" t="inlineStr">
        <is>
          <t>INRS ED 6110</t>
        </is>
      </c>
    </row>
    <row r="24">
      <c r="A24" s="14" t="inlineStr">
        <is>
          <t>A. Hauteur &amp; EPI antichute</t>
        </is>
      </c>
      <c r="B24" s="14" t="inlineStr">
        <is>
          <t>Échelles, escabeaux</t>
        </is>
      </c>
      <c r="C24" s="15" t="inlineStr">
        <is>
          <t>A.23</t>
        </is>
      </c>
      <c r="D24" s="16" t="inlineStr">
        <is>
          <t>Hauteur max d'utilisation respectée selon notice</t>
        </is>
      </c>
      <c r="E24" s="17" t="inlineStr">
        <is>
          <t>Notice constructeur</t>
        </is>
      </c>
    </row>
    <row r="25">
      <c r="A25" s="14" t="inlineStr">
        <is>
          <t>A. Hauteur &amp; EPI antichute</t>
        </is>
      </c>
      <c r="B25" s="14" t="inlineStr">
        <is>
          <t>Toitures</t>
        </is>
      </c>
      <c r="C25" s="15" t="inlineStr">
        <is>
          <t>A.24</t>
        </is>
      </c>
      <c r="D25" s="16" t="inlineStr">
        <is>
          <t>DTA exigé du maître d'ouvrage avant toute intervention en toiture sur bâtiment &lt; 1997</t>
        </is>
      </c>
      <c r="E25" s="17" t="inlineStr">
        <is>
          <t>Art. R.4412-97</t>
        </is>
      </c>
    </row>
    <row r="26">
      <c r="A26" s="14" t="inlineStr">
        <is>
          <t>A. Hauteur &amp; EPI antichute</t>
        </is>
      </c>
      <c r="B26" s="14" t="inlineStr">
        <is>
          <t>Toitures</t>
        </is>
      </c>
      <c r="C26" s="15" t="inlineStr">
        <is>
          <t>A.25</t>
        </is>
      </c>
      <c r="D26" s="16" t="inlineStr">
        <is>
          <t>Plan de protection collective (filets, lignes de vie, garde-corps temporaires)</t>
        </is>
      </c>
      <c r="E26" s="17" t="inlineStr">
        <is>
          <t>Reco. CARSAT R.457</t>
        </is>
      </c>
    </row>
    <row r="27">
      <c r="A27" s="14" t="inlineStr">
        <is>
          <t>A. Hauteur &amp; EPI antichute</t>
        </is>
      </c>
      <c r="B27" s="14" t="inlineStr">
        <is>
          <t>Toitures</t>
        </is>
      </c>
      <c r="C27" s="15" t="inlineStr">
        <is>
          <t>A.26</t>
        </is>
      </c>
      <c r="D27" s="16" t="inlineStr">
        <is>
          <t>Grilles anti-chute 1200 J pour exutoires de désenfumage (réf. devis Sérigraphie)</t>
        </is>
      </c>
      <c r="E27" s="17" t="inlineStr">
        <is>
          <t>NF EN 12101-2</t>
        </is>
      </c>
    </row>
    <row r="28">
      <c r="A28" s="14" t="inlineStr">
        <is>
          <t>A. Hauteur &amp; EPI antichute</t>
        </is>
      </c>
      <c r="B28" s="14" t="inlineStr">
        <is>
          <t>Toitures</t>
        </is>
      </c>
      <c r="C28" s="15" t="inlineStr">
        <is>
          <t>A.27</t>
        </is>
      </c>
      <c r="D28" s="16" t="inlineStr">
        <is>
          <t>Travail interdit ou sécurisé en cas de pluie, gel, neige ou vent &gt; 50 km/h</t>
        </is>
      </c>
      <c r="E28" s="17" t="inlineStr">
        <is>
          <t>Art. R.4323-58</t>
        </is>
      </c>
    </row>
    <row r="29">
      <c r="A29" s="14" t="inlineStr">
        <is>
          <t>A. Hauteur &amp; EPI antichute</t>
        </is>
      </c>
      <c r="B29" s="14" t="inlineStr">
        <is>
          <t>EPI antichute</t>
        </is>
      </c>
      <c r="C29" s="15" t="inlineStr">
        <is>
          <t>A.28</t>
        </is>
      </c>
      <c r="D29" s="16" t="inlineStr">
        <is>
          <t>Harnais individuel attribué nominativement (NF EN 361)</t>
        </is>
      </c>
      <c r="E29" s="17" t="inlineStr">
        <is>
          <t>Art. R.4323-95</t>
        </is>
      </c>
    </row>
    <row r="30">
      <c r="A30" s="14" t="inlineStr">
        <is>
          <t>A. Hauteur &amp; EPI antichute</t>
        </is>
      </c>
      <c r="B30" s="14" t="inlineStr">
        <is>
          <t>EPI antichute</t>
        </is>
      </c>
      <c r="C30" s="15" t="inlineStr">
        <is>
          <t>A.29</t>
        </is>
      </c>
      <c r="D30" s="16" t="inlineStr">
        <is>
          <t>Vérification annuelle par personne compétente (date sur registre + étiquette EPI)</t>
        </is>
      </c>
      <c r="E30" s="17" t="inlineStr">
        <is>
          <t>Art. R.4323-99</t>
        </is>
      </c>
    </row>
    <row r="31">
      <c r="A31" s="14" t="inlineStr">
        <is>
          <t>A. Hauteur &amp; EPI antichute</t>
        </is>
      </c>
      <c r="B31" s="14" t="inlineStr">
        <is>
          <t>EPI antichute</t>
        </is>
      </c>
      <c r="C31" s="15" t="inlineStr">
        <is>
          <t>A.30</t>
        </is>
      </c>
      <c r="D31" s="16" t="inlineStr">
        <is>
          <t>Longes (NF EN 354 + 355), absorbeurs d'énergie, connecteurs (NF EN 362)</t>
        </is>
      </c>
      <c r="E31" s="17" t="inlineStr">
        <is>
          <t>Normes EPI antichute</t>
        </is>
      </c>
    </row>
    <row r="32">
      <c r="A32" s="14" t="inlineStr">
        <is>
          <t>A. Hauteur &amp; EPI antichute</t>
        </is>
      </c>
      <c r="B32" s="14" t="inlineStr">
        <is>
          <t>EPI antichute</t>
        </is>
      </c>
      <c r="C32" s="15" t="inlineStr">
        <is>
          <t>A.31</t>
        </is>
      </c>
      <c r="D32" s="16" t="inlineStr">
        <is>
          <t>Mise hors service obligatoire après chute (même sans dommage apparent)</t>
        </is>
      </c>
      <c r="E32" s="17" t="inlineStr">
        <is>
          <t>Notice fabricant</t>
        </is>
      </c>
    </row>
    <row r="33">
      <c r="A33" s="14" t="inlineStr">
        <is>
          <t>A. Hauteur &amp; EPI antichute</t>
        </is>
      </c>
      <c r="B33" s="14" t="inlineStr">
        <is>
          <t>EPI antichute</t>
        </is>
      </c>
      <c r="C33" s="15" t="inlineStr">
        <is>
          <t>A.32</t>
        </is>
      </c>
      <c r="D33" s="16" t="inlineStr">
        <is>
          <t>Formation au port + vérification + entretien des EPI antichute</t>
        </is>
      </c>
      <c r="E33" s="17" t="inlineStr">
        <is>
          <t>Art. R.4323-106</t>
        </is>
      </c>
    </row>
    <row r="34">
      <c r="A34" s="14" t="inlineStr">
        <is>
          <t>A. Hauteur &amp; EPI antichute</t>
        </is>
      </c>
      <c r="B34" s="14" t="inlineStr">
        <is>
          <t>EPI antichute</t>
        </is>
      </c>
      <c r="C34" s="15" t="inlineStr">
        <is>
          <t>A.33</t>
        </is>
      </c>
      <c r="D34" s="16" t="inlineStr">
        <is>
          <t>Lignes de vie temporaires conformes (NF EN 795)</t>
        </is>
      </c>
      <c r="E34" s="17" t="inlineStr">
        <is>
          <t>NF EN 795</t>
        </is>
      </c>
    </row>
    <row r="35">
      <c r="A35" s="14" t="inlineStr">
        <is>
          <t>A. Hauteur &amp; EPI antichute</t>
        </is>
      </c>
      <c r="B35" s="14" t="inlineStr">
        <is>
          <t>Permis travail hauteur</t>
        </is>
      </c>
      <c r="C35" s="15" t="inlineStr">
        <is>
          <t>A.34</t>
        </is>
      </c>
      <c r="D35" s="16" t="inlineStr">
        <is>
          <t>Permis de travail en hauteur formalisé pour interventions &gt; 2 m</t>
        </is>
      </c>
      <c r="E35" s="17" t="inlineStr">
        <is>
          <t>Bonne pratique</t>
        </is>
      </c>
    </row>
    <row r="36">
      <c r="A36" s="14" t="inlineStr">
        <is>
          <t>A. Hauteur &amp; EPI antichute</t>
        </is>
      </c>
      <c r="B36" s="14" t="inlineStr">
        <is>
          <t>Permis travail hauteur</t>
        </is>
      </c>
      <c r="C36" s="15" t="inlineStr">
        <is>
          <t>A.35</t>
        </is>
      </c>
      <c r="D36" s="16" t="inlineStr">
        <is>
          <t>Plan de sauvetage en hauteur (récupération victime suspendue &lt; 30 min)</t>
        </is>
      </c>
      <c r="E36" s="17" t="inlineStr">
        <is>
          <t>Art. R.4323-58</t>
        </is>
      </c>
    </row>
    <row r="37">
      <c r="A37" s="14" t="inlineStr">
        <is>
          <t>A. Hauteur &amp; EPI antichute</t>
        </is>
      </c>
      <c r="B37" s="14" t="inlineStr">
        <is>
          <t>Coordination</t>
        </is>
      </c>
      <c r="C37" s="15" t="inlineStr">
        <is>
          <t>A.36</t>
        </is>
      </c>
      <c r="D37" s="16" t="inlineStr">
        <is>
          <t>Co-activité hauteur avec autres entreprises gérée par PPSPS / Plan prévention</t>
        </is>
      </c>
      <c r="E37" s="17" t="inlineStr">
        <is>
          <t>Art. R.4532-9</t>
        </is>
      </c>
    </row>
    <row r="38">
      <c r="A38" s="14" t="inlineStr">
        <is>
          <t>A. Hauteur &amp; EPI antichute</t>
        </is>
      </c>
      <c r="B38" s="14" t="inlineStr">
        <is>
          <t>Coordination</t>
        </is>
      </c>
      <c r="C38" s="15" t="inlineStr">
        <is>
          <t>A.37</t>
        </is>
      </c>
      <c r="D38" s="16" t="inlineStr">
        <is>
          <t>Affichage des consignes travail en hauteur sur chaque chantier</t>
        </is>
      </c>
      <c r="E38" s="17" t="inlineStr">
        <is>
          <t>Bonne pratique</t>
        </is>
      </c>
    </row>
    <row r="39">
      <c r="A39" s="14" t="inlineStr">
        <is>
          <t>A. Hauteur &amp; EPI antichute</t>
        </is>
      </c>
      <c r="B39" s="14" t="inlineStr">
        <is>
          <t>Coordination</t>
        </is>
      </c>
      <c r="C39" s="15" t="inlineStr">
        <is>
          <t>A.38</t>
        </is>
      </c>
      <c r="D39" s="16" t="inlineStr">
        <is>
          <t>Sensibilisation annuelle aux gestes d'urgence en cas de chute</t>
        </is>
      </c>
      <c r="E39" s="17" t="inlineStr">
        <is>
          <t>Art. R.4141-13</t>
        </is>
      </c>
    </row>
    <row r="40">
      <c r="A40" s="18" t="inlineStr">
        <is>
          <t>B. Électricité &amp; habilitations</t>
        </is>
      </c>
      <c r="B40" s="18" t="inlineStr">
        <is>
          <t>Habilitations</t>
        </is>
      </c>
      <c r="C40" s="13" t="inlineStr">
        <is>
          <t>B.01</t>
        </is>
      </c>
      <c r="D40" s="19" t="inlineStr">
        <is>
          <t>Tableau de bord nominatif des habilitations NF C 18-510 à jour</t>
        </is>
      </c>
      <c r="E40" s="20" t="inlineStr">
        <is>
          <t>NF C 18-510</t>
        </is>
      </c>
    </row>
    <row r="41">
      <c r="A41" s="18" t="inlineStr">
        <is>
          <t>B. Électricité &amp; habilitations</t>
        </is>
      </c>
      <c r="B41" s="18" t="inlineStr">
        <is>
          <t>Habilitations</t>
        </is>
      </c>
      <c r="C41" s="13" t="inlineStr">
        <is>
          <t>B.02</t>
        </is>
      </c>
      <c r="D41" s="19" t="inlineStr">
        <is>
          <t>B0 (exécutant non électricien) pour personnel d'aide</t>
        </is>
      </c>
      <c r="E41" s="20" t="inlineStr">
        <is>
          <t>NF C 18-510</t>
        </is>
      </c>
    </row>
    <row r="42">
      <c r="A42" s="18" t="inlineStr">
        <is>
          <t>B. Électricité &amp; habilitations</t>
        </is>
      </c>
      <c r="B42" s="18" t="inlineStr">
        <is>
          <t>Habilitations</t>
        </is>
      </c>
      <c r="C42" s="13" t="inlineStr">
        <is>
          <t>B.03</t>
        </is>
      </c>
      <c r="D42" s="19" t="inlineStr">
        <is>
          <t>B1V (exécutant électricien BT en voisinage) pour techniciens TBT/BT</t>
        </is>
      </c>
      <c r="E42" s="20" t="inlineStr">
        <is>
          <t>NF C 18-510</t>
        </is>
      </c>
    </row>
    <row r="43">
      <c r="A43" s="18" t="inlineStr">
        <is>
          <t>B. Électricité &amp; habilitations</t>
        </is>
      </c>
      <c r="B43" s="18" t="inlineStr">
        <is>
          <t>Habilitations</t>
        </is>
      </c>
      <c r="C43" s="13" t="inlineStr">
        <is>
          <t>B.04</t>
        </is>
      </c>
      <c r="D43" s="19" t="inlineStr">
        <is>
          <t>B2V (chargé de travaux BT en voisinage) pour interventions complexes</t>
        </is>
      </c>
      <c r="E43" s="20" t="inlineStr">
        <is>
          <t>NF C 18-510</t>
        </is>
      </c>
    </row>
    <row r="44">
      <c r="A44" s="18" t="inlineStr">
        <is>
          <t>B. Électricité &amp; habilitations</t>
        </is>
      </c>
      <c r="B44" s="18" t="inlineStr">
        <is>
          <t>Habilitations</t>
        </is>
      </c>
      <c r="C44" s="13" t="inlineStr">
        <is>
          <t>B.05</t>
        </is>
      </c>
      <c r="D44" s="19" t="inlineStr">
        <is>
          <t>BR (intervention générale BT) pour techniciens autonomes</t>
        </is>
      </c>
      <c r="E44" s="20" t="inlineStr">
        <is>
          <t>NF C 18-510</t>
        </is>
      </c>
    </row>
    <row r="45">
      <c r="A45" s="18" t="inlineStr">
        <is>
          <t>B. Électricité &amp; habilitations</t>
        </is>
      </c>
      <c r="B45" s="18" t="inlineStr">
        <is>
          <t>Habilitations</t>
        </is>
      </c>
      <c r="C45" s="13" t="inlineStr">
        <is>
          <t>B.06</t>
        </is>
      </c>
      <c r="D45" s="19" t="inlineStr">
        <is>
          <t>BC (chargé de consignation BT) pour consignation des installations</t>
        </is>
      </c>
      <c r="E45" s="20" t="inlineStr">
        <is>
          <t>NF C 18-510</t>
        </is>
      </c>
    </row>
    <row r="46">
      <c r="A46" s="18" t="inlineStr">
        <is>
          <t>B. Électricité &amp; habilitations</t>
        </is>
      </c>
      <c r="B46" s="18" t="inlineStr">
        <is>
          <t>Habilitations</t>
        </is>
      </c>
      <c r="C46" s="13" t="inlineStr">
        <is>
          <t>B.07</t>
        </is>
      </c>
      <c r="D46" s="19" t="inlineStr">
        <is>
          <t>BE Essai/Vérification pour techniciens mesures et essais</t>
        </is>
      </c>
      <c r="E46" s="20" t="inlineStr">
        <is>
          <t>NF C 18-510</t>
        </is>
      </c>
    </row>
    <row r="47">
      <c r="A47" s="18" t="inlineStr">
        <is>
          <t>B. Électricité &amp; habilitations</t>
        </is>
      </c>
      <c r="B47" s="18" t="inlineStr">
        <is>
          <t>Habilitations</t>
        </is>
      </c>
      <c r="C47" s="13" t="inlineStr">
        <is>
          <t>B.08</t>
        </is>
      </c>
      <c r="D47" s="19" t="inlineStr">
        <is>
          <t>H0V (voisinage HT) si interventions HT — sinon non applicable</t>
        </is>
      </c>
      <c r="E47" s="20" t="inlineStr">
        <is>
          <t>NF C 18-510</t>
        </is>
      </c>
    </row>
    <row r="48">
      <c r="A48" s="18" t="inlineStr">
        <is>
          <t>B. Électricité &amp; habilitations</t>
        </is>
      </c>
      <c r="B48" s="18" t="inlineStr">
        <is>
          <t>Habilitations</t>
        </is>
      </c>
      <c r="C48" s="13" t="inlineStr">
        <is>
          <t>B.09</t>
        </is>
      </c>
      <c r="D48" s="19" t="inlineStr">
        <is>
          <t>Recyclage tous les 3 ans documenté pour chaque salarié</t>
        </is>
      </c>
      <c r="E48" s="20" t="inlineStr">
        <is>
          <t>NF C 18-510 § 5.6</t>
        </is>
      </c>
    </row>
    <row r="49">
      <c r="A49" s="18" t="inlineStr">
        <is>
          <t>B. Électricité &amp; habilitations</t>
        </is>
      </c>
      <c r="B49" s="18" t="inlineStr">
        <is>
          <t>Habilitations</t>
        </is>
      </c>
      <c r="C49" s="13" t="inlineStr">
        <is>
          <t>B.10</t>
        </is>
      </c>
      <c r="D49" s="19" t="inlineStr">
        <is>
          <t>Avis médical d'aptitude préalable à toute habilitation</t>
        </is>
      </c>
      <c r="E49" s="20" t="inlineStr">
        <is>
          <t>Art. R.4624-23</t>
        </is>
      </c>
    </row>
    <row r="50">
      <c r="A50" s="18" t="inlineStr">
        <is>
          <t>B. Électricité &amp; habilitations</t>
        </is>
      </c>
      <c r="B50" s="18" t="inlineStr">
        <is>
          <t>Habilitations</t>
        </is>
      </c>
      <c r="C50" s="13" t="inlineStr">
        <is>
          <t>B.11</t>
        </is>
      </c>
      <c r="D50" s="19" t="inlineStr">
        <is>
          <t>Titre d'habilitation signé et remis nominativement</t>
        </is>
      </c>
      <c r="E50" s="20" t="inlineStr">
        <is>
          <t>Art. R.4544-10</t>
        </is>
      </c>
    </row>
    <row r="51">
      <c r="A51" s="18" t="inlineStr">
        <is>
          <t>B. Électricité &amp; habilitations</t>
        </is>
      </c>
      <c r="B51" s="18" t="inlineStr">
        <is>
          <t>Habilitations</t>
        </is>
      </c>
      <c r="C51" s="13" t="inlineStr">
        <is>
          <t>B.12</t>
        </is>
      </c>
      <c r="D51" s="19" t="inlineStr">
        <is>
          <t>Carnet de prescriptions à jour remis à chaque salarié habilité</t>
        </is>
      </c>
      <c r="E51" s="20" t="inlineStr">
        <is>
          <t>Art. R.4544-9</t>
        </is>
      </c>
    </row>
    <row r="52">
      <c r="A52" s="18" t="inlineStr">
        <is>
          <t>B. Électricité &amp; habilitations</t>
        </is>
      </c>
      <c r="B52" s="18" t="inlineStr">
        <is>
          <t>EPI électrique</t>
        </is>
      </c>
      <c r="C52" s="13" t="inlineStr">
        <is>
          <t>B.13</t>
        </is>
      </c>
      <c r="D52" s="19" t="inlineStr">
        <is>
          <t>Gants isolants classe 0 ou 00 — date essai diélectrique 6 mois</t>
        </is>
      </c>
      <c r="E52" s="20" t="inlineStr">
        <is>
          <t>NF EN 60903</t>
        </is>
      </c>
    </row>
    <row r="53">
      <c r="A53" s="18" t="inlineStr">
        <is>
          <t>B. Électricité &amp; habilitations</t>
        </is>
      </c>
      <c r="B53" s="18" t="inlineStr">
        <is>
          <t>EPI électrique</t>
        </is>
      </c>
      <c r="C53" s="13" t="inlineStr">
        <is>
          <t>B.14</t>
        </is>
      </c>
      <c r="D53" s="19" t="inlineStr">
        <is>
          <t>Casque isolant avec écran facial anti-arc électrique</t>
        </is>
      </c>
      <c r="E53" s="20" t="inlineStr">
        <is>
          <t>NF EN 50365</t>
        </is>
      </c>
    </row>
    <row r="54">
      <c r="A54" s="18" t="inlineStr">
        <is>
          <t>B. Électricité &amp; habilitations</t>
        </is>
      </c>
      <c r="B54" s="18" t="inlineStr">
        <is>
          <t>EPI électrique</t>
        </is>
      </c>
      <c r="C54" s="13" t="inlineStr">
        <is>
          <t>B.15</t>
        </is>
      </c>
      <c r="D54" s="19" t="inlineStr">
        <is>
          <t>Tapis isolant 1000 V (1 m × 1 m) sous tableau si zone humide</t>
        </is>
      </c>
      <c r="E54" s="20" t="inlineStr">
        <is>
          <t>NF EN 61111</t>
        </is>
      </c>
    </row>
    <row r="55">
      <c r="A55" s="18" t="inlineStr">
        <is>
          <t>B. Électricité &amp; habilitations</t>
        </is>
      </c>
      <c r="B55" s="18" t="inlineStr">
        <is>
          <t>EPI électrique</t>
        </is>
      </c>
      <c r="C55" s="13" t="inlineStr">
        <is>
          <t>B.16</t>
        </is>
      </c>
      <c r="D55" s="19" t="inlineStr">
        <is>
          <t>Vêtements de protection arc électrique (vêt. anti-arc)</t>
        </is>
      </c>
      <c r="E55" s="20" t="inlineStr">
        <is>
          <t>NF EN 61482-1-2</t>
        </is>
      </c>
    </row>
    <row r="56">
      <c r="A56" s="18" t="inlineStr">
        <is>
          <t>B. Électricité &amp; habilitations</t>
        </is>
      </c>
      <c r="B56" s="18" t="inlineStr">
        <is>
          <t>EPI électrique</t>
        </is>
      </c>
      <c r="C56" s="13" t="inlineStr">
        <is>
          <t>B.17</t>
        </is>
      </c>
      <c r="D56" s="19" t="inlineStr">
        <is>
          <t>Chaussures de sécurité isolantes S3 SRC</t>
        </is>
      </c>
      <c r="E56" s="20" t="inlineStr">
        <is>
          <t>NF EN ISO 20345</t>
        </is>
      </c>
    </row>
    <row r="57">
      <c r="A57" s="18" t="inlineStr">
        <is>
          <t>B. Électricité &amp; habilitations</t>
        </is>
      </c>
      <c r="B57" s="18" t="inlineStr">
        <is>
          <t>EPI électrique</t>
        </is>
      </c>
      <c r="C57" s="13" t="inlineStr">
        <is>
          <t>B.18</t>
        </is>
      </c>
      <c r="D57" s="19" t="inlineStr">
        <is>
          <t>VAT (vérificateur d'absence de tension) avant chaque intervention</t>
        </is>
      </c>
      <c r="E57" s="20" t="inlineStr">
        <is>
          <t>NF C 18-510</t>
        </is>
      </c>
    </row>
    <row r="58">
      <c r="A58" s="18" t="inlineStr">
        <is>
          <t>B. Électricité &amp; habilitations</t>
        </is>
      </c>
      <c r="B58" s="18" t="inlineStr">
        <is>
          <t>EPI électrique</t>
        </is>
      </c>
      <c r="C58" s="13" t="inlineStr">
        <is>
          <t>B.19</t>
        </is>
      </c>
      <c r="D58" s="19" t="inlineStr">
        <is>
          <t>Perches isolantes adaptées à la classe de tension</t>
        </is>
      </c>
      <c r="E58" s="20" t="inlineStr">
        <is>
          <t>NF EN 61235</t>
        </is>
      </c>
    </row>
    <row r="59">
      <c r="A59" s="18" t="inlineStr">
        <is>
          <t>B. Électricité &amp; habilitations</t>
        </is>
      </c>
      <c r="B59" s="18" t="inlineStr">
        <is>
          <t>Outillage</t>
        </is>
      </c>
      <c r="C59" s="13" t="inlineStr">
        <is>
          <t>B.20</t>
        </is>
      </c>
      <c r="D59" s="19" t="inlineStr">
        <is>
          <t>Outils isolés 1000 V certifiés pour interventions sous tension</t>
        </is>
      </c>
      <c r="E59" s="20" t="inlineStr">
        <is>
          <t>IEC 60900</t>
        </is>
      </c>
    </row>
    <row r="60">
      <c r="A60" s="18" t="inlineStr">
        <is>
          <t>B. Électricité &amp; habilitations</t>
        </is>
      </c>
      <c r="B60" s="18" t="inlineStr">
        <is>
          <t>Procédures</t>
        </is>
      </c>
      <c r="C60" s="13" t="inlineStr">
        <is>
          <t>B.21</t>
        </is>
      </c>
      <c r="D60" s="19" t="inlineStr">
        <is>
          <t>Procédure de consignation/déconsignation formalisée (séparation, condamnation, identification, VAT, MALT)</t>
        </is>
      </c>
      <c r="E60" s="20" t="inlineStr">
        <is>
          <t>NF C 18-510 § 7</t>
        </is>
      </c>
    </row>
    <row r="61">
      <c r="A61" s="18" t="inlineStr">
        <is>
          <t>B. Électricité &amp; habilitations</t>
        </is>
      </c>
      <c r="B61" s="18" t="inlineStr">
        <is>
          <t>Procédures</t>
        </is>
      </c>
      <c r="C61" s="13" t="inlineStr">
        <is>
          <t>B.22</t>
        </is>
      </c>
      <c r="D61" s="19" t="inlineStr">
        <is>
          <t>Mise à la terre (MALT) systématique avant intervention BT/HT</t>
        </is>
      </c>
      <c r="E61" s="20" t="inlineStr">
        <is>
          <t>NF C 18-510</t>
        </is>
      </c>
    </row>
    <row r="62">
      <c r="A62" s="18" t="inlineStr">
        <is>
          <t>B. Électricité &amp; habilitations</t>
        </is>
      </c>
      <c r="B62" s="18" t="inlineStr">
        <is>
          <t>Procédures</t>
        </is>
      </c>
      <c r="C62" s="13" t="inlineStr">
        <is>
          <t>B.23</t>
        </is>
      </c>
      <c r="D62" s="19" t="inlineStr">
        <is>
          <t>Affichage des consignes de premiers secours électrisation</t>
        </is>
      </c>
      <c r="E62" s="20" t="inlineStr">
        <is>
          <t>Art. R.4224-15</t>
        </is>
      </c>
    </row>
    <row r="63">
      <c r="A63" s="18" t="inlineStr">
        <is>
          <t>B. Électricité &amp; habilitations</t>
        </is>
      </c>
      <c r="B63" s="18" t="inlineStr">
        <is>
          <t>Vérifications</t>
        </is>
      </c>
      <c r="C63" s="13" t="inlineStr">
        <is>
          <t>B.24</t>
        </is>
      </c>
      <c r="D63" s="19" t="inlineStr">
        <is>
          <t>Q18 — Contrôle annuel installations électriques par organisme agréé</t>
        </is>
      </c>
      <c r="E63" s="20" t="inlineStr">
        <is>
          <t>Décret 88-1056</t>
        </is>
      </c>
    </row>
    <row r="64">
      <c r="A64" s="18" t="inlineStr">
        <is>
          <t>B. Électricité &amp; habilitations</t>
        </is>
      </c>
      <c r="B64" s="18" t="inlineStr">
        <is>
          <t>Vérifications</t>
        </is>
      </c>
      <c r="C64" s="13" t="inlineStr">
        <is>
          <t>B.25</t>
        </is>
      </c>
      <c r="D64" s="19" t="inlineStr">
        <is>
          <t>Levée des observations Q18 dans les 3 mois suivant le rapport</t>
        </is>
      </c>
      <c r="E64" s="20" t="inlineStr">
        <is>
          <t>Art. R.4226-4</t>
        </is>
      </c>
    </row>
    <row r="65">
      <c r="A65" s="18" t="inlineStr">
        <is>
          <t>B. Électricité &amp; habilitations</t>
        </is>
      </c>
      <c r="B65" s="18" t="inlineStr">
        <is>
          <t>Vérifications</t>
        </is>
      </c>
      <c r="C65" s="13" t="inlineStr">
        <is>
          <t>B.26</t>
        </is>
      </c>
      <c r="D65" s="19" t="inlineStr">
        <is>
          <t>Vérification initiale lors de mise en service installation</t>
        </is>
      </c>
      <c r="E65" s="20" t="inlineStr">
        <is>
          <t>Art. R.4226-14</t>
        </is>
      </c>
    </row>
    <row r="66">
      <c r="A66" s="18" t="inlineStr">
        <is>
          <t>B. Électricité &amp; habilitations</t>
        </is>
      </c>
      <c r="B66" s="18" t="inlineStr">
        <is>
          <t>Installations</t>
        </is>
      </c>
      <c r="C66" s="13" t="inlineStr">
        <is>
          <t>B.27</t>
        </is>
      </c>
      <c r="D66" s="19" t="inlineStr">
        <is>
          <t>Coupure d'urgence accessible et signalée</t>
        </is>
      </c>
      <c r="E66" s="20" t="inlineStr">
        <is>
          <t>Art. R.4226-5</t>
        </is>
      </c>
    </row>
    <row r="67">
      <c r="A67" s="18" t="inlineStr">
        <is>
          <t>B. Électricité &amp; habilitations</t>
        </is>
      </c>
      <c r="B67" s="18" t="inlineStr">
        <is>
          <t>Installations</t>
        </is>
      </c>
      <c r="C67" s="13" t="inlineStr">
        <is>
          <t>B.28</t>
        </is>
      </c>
      <c r="D67" s="19" t="inlineStr">
        <is>
          <t>Protection différentielle 30 mA sur prises &lt; 32 A</t>
        </is>
      </c>
      <c r="E67" s="20" t="inlineStr">
        <is>
          <t>NF C 15-100</t>
        </is>
      </c>
    </row>
    <row r="68">
      <c r="A68" s="18" t="inlineStr">
        <is>
          <t>B. Électricité &amp; habilitations</t>
        </is>
      </c>
      <c r="B68" s="18" t="inlineStr">
        <is>
          <t>Installations</t>
        </is>
      </c>
      <c r="C68" s="13" t="inlineStr">
        <is>
          <t>B.29</t>
        </is>
      </c>
      <c r="D68" s="19" t="inlineStr">
        <is>
          <t>Schéma électrique unifilaire à jour</t>
        </is>
      </c>
      <c r="E68" s="20" t="inlineStr">
        <is>
          <t>NF C 15-100</t>
        </is>
      </c>
    </row>
    <row r="69">
      <c r="A69" s="18" t="inlineStr">
        <is>
          <t>B. Électricité &amp; habilitations</t>
        </is>
      </c>
      <c r="B69" s="18" t="inlineStr">
        <is>
          <t>Installations</t>
        </is>
      </c>
      <c r="C69" s="13" t="inlineStr">
        <is>
          <t>B.30</t>
        </is>
      </c>
      <c r="D69" s="19" t="inlineStr">
        <is>
          <t>Étiquetage des armoires électriques et des départs</t>
        </is>
      </c>
      <c r="E69" s="20" t="inlineStr">
        <is>
          <t>NF C 15-100</t>
        </is>
      </c>
    </row>
    <row r="70">
      <c r="A70" s="18" t="inlineStr">
        <is>
          <t>B. Électricité &amp; habilitations</t>
        </is>
      </c>
      <c r="B70" s="18" t="inlineStr">
        <is>
          <t>TBT - SSI</t>
        </is>
      </c>
      <c r="C70" s="13" t="inlineStr">
        <is>
          <t>B.31</t>
        </is>
      </c>
      <c r="D70" s="19" t="inlineStr">
        <is>
          <t>Repérage et étiquetage des câbles SSI (boucles, détecteurs)</t>
        </is>
      </c>
      <c r="E70" s="20" t="inlineStr">
        <is>
          <t>NF S 61-932</t>
        </is>
      </c>
    </row>
    <row r="71">
      <c r="A71" s="18" t="inlineStr">
        <is>
          <t>B. Électricité &amp; habilitations</t>
        </is>
      </c>
      <c r="B71" s="18" t="inlineStr">
        <is>
          <t>TBT - SSI</t>
        </is>
      </c>
      <c r="C71" s="13" t="inlineStr">
        <is>
          <t>B.32</t>
        </is>
      </c>
      <c r="D71" s="19" t="inlineStr">
        <is>
          <t>Qualification spécifique installateur SSI (NF S 61-932) par catégorie A à E</t>
        </is>
      </c>
      <c r="E71" s="20" t="inlineStr">
        <is>
          <t>NF S 61-932</t>
        </is>
      </c>
    </row>
    <row r="72">
      <c r="A72" s="18" t="inlineStr">
        <is>
          <t>B. Électricité &amp; habilitations</t>
        </is>
      </c>
      <c r="B72" s="18" t="inlineStr">
        <is>
          <t>TBT - SSI</t>
        </is>
      </c>
      <c r="C72" s="13" t="inlineStr">
        <is>
          <t>B.33</t>
        </is>
      </c>
      <c r="D72" s="19" t="inlineStr">
        <is>
          <t>Mise hors-tension préalable des zones avant intervention</t>
        </is>
      </c>
      <c r="E72" s="20" t="inlineStr">
        <is>
          <t>NF C 18-510</t>
        </is>
      </c>
    </row>
    <row r="73">
      <c r="A73" s="18" t="inlineStr">
        <is>
          <t>B. Électricité &amp; habilitations</t>
        </is>
      </c>
      <c r="B73" s="18" t="inlineStr">
        <is>
          <t>Sous-traitance</t>
        </is>
      </c>
      <c r="C73" s="13" t="inlineStr">
        <is>
          <t>B.34</t>
        </is>
      </c>
      <c r="D73" s="19" t="inlineStr">
        <is>
          <t>Sous-traitants électriciens — copie habilitations exigée avant intervention</t>
        </is>
      </c>
      <c r="E73" s="20" t="inlineStr">
        <is>
          <t>Art. R.4512-6</t>
        </is>
      </c>
    </row>
    <row r="74">
      <c r="A74" s="18" t="inlineStr">
        <is>
          <t>B. Électricité &amp; habilitations</t>
        </is>
      </c>
      <c r="B74" s="18" t="inlineStr">
        <is>
          <t>Sous-traitance</t>
        </is>
      </c>
      <c r="C74" s="13" t="inlineStr">
        <is>
          <t>B.35</t>
        </is>
      </c>
      <c r="D74" s="19" t="inlineStr">
        <is>
          <t>Plan de prévention électrique signé pour interventions &gt; 400 h ou TD</t>
        </is>
      </c>
      <c r="E74" s="20" t="inlineStr">
        <is>
          <t>Art. R.4512-7</t>
        </is>
      </c>
    </row>
    <row r="75">
      <c r="A75" s="14" t="inlineStr">
        <is>
          <t>C. Incendie &amp; explosion</t>
        </is>
      </c>
      <c r="B75" s="14" t="inlineStr">
        <is>
          <t>Permis de feu</t>
        </is>
      </c>
      <c r="C75" s="15" t="inlineStr">
        <is>
          <t>C.01</t>
        </is>
      </c>
      <c r="D75" s="16" t="inlineStr">
        <is>
          <t>Permis de feu IM2S → client pour tout point chaud sur chantier</t>
        </is>
      </c>
      <c r="E75" s="17" t="inlineStr">
        <is>
          <t>APSAD D9</t>
        </is>
      </c>
    </row>
    <row r="76">
      <c r="A76" s="14" t="inlineStr">
        <is>
          <t>C. Incendie &amp; explosion</t>
        </is>
      </c>
      <c r="B76" s="14" t="inlineStr">
        <is>
          <t>Permis de feu</t>
        </is>
      </c>
      <c r="C76" s="15" t="inlineStr">
        <is>
          <t>C.02</t>
        </is>
      </c>
      <c r="D76" s="16" t="inlineStr">
        <is>
          <t>Permis de feu IM2S → IM2S pour travaux propres (perçage, meulage)</t>
        </is>
      </c>
      <c r="E76" s="17" t="inlineStr">
        <is>
          <t>APSAD D9</t>
        </is>
      </c>
    </row>
    <row r="77">
      <c r="A77" s="14" t="inlineStr">
        <is>
          <t>C. Incendie &amp; explosion</t>
        </is>
      </c>
      <c r="B77" s="14" t="inlineStr">
        <is>
          <t>Permis de feu</t>
        </is>
      </c>
      <c r="C77" s="15" t="inlineStr">
        <is>
          <t>C.03</t>
        </is>
      </c>
      <c r="D77" s="16" t="inlineStr">
        <is>
          <t>Modèle APSAD D9 utilisé systématiquement</t>
        </is>
      </c>
      <c r="E77" s="17" t="inlineStr">
        <is>
          <t>APSAD D9</t>
        </is>
      </c>
    </row>
    <row r="78">
      <c r="A78" s="14" t="inlineStr">
        <is>
          <t>C. Incendie &amp; explosion</t>
        </is>
      </c>
      <c r="B78" s="14" t="inlineStr">
        <is>
          <t>Permis de feu</t>
        </is>
      </c>
      <c r="C78" s="15" t="inlineStr">
        <is>
          <t>C.04</t>
        </is>
      </c>
      <c r="D78" s="16" t="inlineStr">
        <is>
          <t>Surveillance après-travaux 2 heures (gardien thermique)</t>
        </is>
      </c>
      <c r="E78" s="17" t="inlineStr">
        <is>
          <t>APSAD D9</t>
        </is>
      </c>
    </row>
    <row r="79">
      <c r="A79" s="14" t="inlineStr">
        <is>
          <t>C. Incendie &amp; explosion</t>
        </is>
      </c>
      <c r="B79" s="14" t="inlineStr">
        <is>
          <t>Permis de feu</t>
        </is>
      </c>
      <c r="C79" s="15" t="inlineStr">
        <is>
          <t>C.05</t>
        </is>
      </c>
      <c r="D79" s="16" t="inlineStr">
        <is>
          <t>Extincteur eau pulvérisée 6 L sur poste de travail</t>
        </is>
      </c>
      <c r="E79" s="17" t="inlineStr">
        <is>
          <t>Art. R.4227-29</t>
        </is>
      </c>
    </row>
    <row r="80">
      <c r="A80" s="14" t="inlineStr">
        <is>
          <t>C. Incendie &amp; explosion</t>
        </is>
      </c>
      <c r="B80" s="14" t="inlineStr">
        <is>
          <t>Permis de feu</t>
        </is>
      </c>
      <c r="C80" s="15" t="inlineStr">
        <is>
          <t>C.06</t>
        </is>
      </c>
      <c r="D80" s="16" t="inlineStr">
        <is>
          <t>Couverture anti-feu sur poste de soudure / meulage</t>
        </is>
      </c>
      <c r="E80" s="17" t="inlineStr">
        <is>
          <t>Bonne pratique</t>
        </is>
      </c>
    </row>
    <row r="81">
      <c r="A81" s="14" t="inlineStr">
        <is>
          <t>C. Incendie &amp; explosion</t>
        </is>
      </c>
      <c r="B81" s="14" t="inlineStr">
        <is>
          <t>Permis de feu</t>
        </is>
      </c>
      <c r="C81" s="15" t="inlineStr">
        <is>
          <t>C.07</t>
        </is>
      </c>
      <c r="D81" s="16" t="inlineStr">
        <is>
          <t>Distance de sécurité 10 m vs matières combustibles</t>
        </is>
      </c>
      <c r="E81" s="17" t="inlineStr">
        <is>
          <t>APSAD D9</t>
        </is>
      </c>
    </row>
    <row r="82">
      <c r="A82" s="14" t="inlineStr">
        <is>
          <t>C. Incendie &amp; explosion</t>
        </is>
      </c>
      <c r="B82" s="14" t="inlineStr">
        <is>
          <t>Permis de feu</t>
        </is>
      </c>
      <c r="C82" s="15" t="inlineStr">
        <is>
          <t>C.08</t>
        </is>
      </c>
      <c r="D82" s="16" t="inlineStr">
        <is>
          <t>Mise hors-tension préalable des zones concernées</t>
        </is>
      </c>
      <c r="E82" s="17" t="inlineStr">
        <is>
          <t>NF C 18-510</t>
        </is>
      </c>
    </row>
    <row r="83">
      <c r="A83" s="14" t="inlineStr">
        <is>
          <t>C. Incendie &amp; explosion</t>
        </is>
      </c>
      <c r="B83" s="14" t="inlineStr">
        <is>
          <t>Locaux IM2S</t>
        </is>
      </c>
      <c r="C83" s="15" t="inlineStr">
        <is>
          <t>C.09</t>
        </is>
      </c>
      <c r="D83" s="16" t="inlineStr">
        <is>
          <t>Plan d'évacuation affiché à chaque niveau</t>
        </is>
      </c>
      <c r="E83" s="17" t="inlineStr">
        <is>
          <t>Art. R.4227-1</t>
        </is>
      </c>
    </row>
    <row r="84">
      <c r="A84" s="14" t="inlineStr">
        <is>
          <t>C. Incendie &amp; explosion</t>
        </is>
      </c>
      <c r="B84" s="14" t="inlineStr">
        <is>
          <t>Locaux IM2S</t>
        </is>
      </c>
      <c r="C84" s="15" t="inlineStr">
        <is>
          <t>C.10</t>
        </is>
      </c>
      <c r="D84" s="16" t="inlineStr">
        <is>
          <t>Balisage des itinéraires d'évacuation conforme</t>
        </is>
      </c>
      <c r="E84" s="17" t="inlineStr">
        <is>
          <t>Art. R.4227-13</t>
        </is>
      </c>
    </row>
    <row r="85">
      <c r="A85" s="14" t="inlineStr">
        <is>
          <t>C. Incendie &amp; explosion</t>
        </is>
      </c>
      <c r="B85" s="14" t="inlineStr">
        <is>
          <t>Locaux IM2S</t>
        </is>
      </c>
      <c r="C85" s="15" t="inlineStr">
        <is>
          <t>C.11</t>
        </is>
      </c>
      <c r="D85" s="16" t="inlineStr">
        <is>
          <t>Éclairage de sécurité (BAES) — test mensuel + autonomie 6 mois</t>
        </is>
      </c>
      <c r="E85" s="17" t="inlineStr">
        <is>
          <t>NF C 15-100</t>
        </is>
      </c>
    </row>
    <row r="86">
      <c r="A86" s="14" t="inlineStr">
        <is>
          <t>C. Incendie &amp; explosion</t>
        </is>
      </c>
      <c r="B86" s="14" t="inlineStr">
        <is>
          <t>Locaux IM2S</t>
        </is>
      </c>
      <c r="C86" s="15" t="inlineStr">
        <is>
          <t>C.12</t>
        </is>
      </c>
      <c r="D86" s="16" t="inlineStr">
        <is>
          <t>Exercices d'évacuation au moins tous les 6 mois</t>
        </is>
      </c>
      <c r="E86" s="17" t="inlineStr">
        <is>
          <t>Art. R.4227-39</t>
        </is>
      </c>
    </row>
    <row r="87">
      <c r="A87" s="14" t="inlineStr">
        <is>
          <t>C. Incendie &amp; explosion</t>
        </is>
      </c>
      <c r="B87" s="14" t="inlineStr">
        <is>
          <t>Locaux IM2S</t>
        </is>
      </c>
      <c r="C87" s="15" t="inlineStr">
        <is>
          <t>C.13</t>
        </is>
      </c>
      <c r="D87" s="16" t="inlineStr">
        <is>
          <t>Système d'alarme incendie testé périodiquement (audible 100% locaux)</t>
        </is>
      </c>
      <c r="E87" s="17" t="inlineStr">
        <is>
          <t>Art. R.4227-34</t>
        </is>
      </c>
    </row>
    <row r="88">
      <c r="A88" s="14" t="inlineStr">
        <is>
          <t>C. Incendie &amp; explosion</t>
        </is>
      </c>
      <c r="B88" s="14" t="inlineStr">
        <is>
          <t>Locaux IM2S</t>
        </is>
      </c>
      <c r="C88" s="15" t="inlineStr">
        <is>
          <t>C.14</t>
        </is>
      </c>
      <c r="D88" s="16" t="inlineStr">
        <is>
          <t>Portes coupe-feu fonctionnelles (ventouses, sélecteurs)</t>
        </is>
      </c>
      <c r="E88" s="17" t="inlineStr">
        <is>
          <t>Art. R.4227-13</t>
        </is>
      </c>
    </row>
    <row r="89">
      <c r="A89" s="14" t="inlineStr">
        <is>
          <t>C. Incendie &amp; explosion</t>
        </is>
      </c>
      <c r="B89" s="14" t="inlineStr">
        <is>
          <t>Locaux IM2S</t>
        </is>
      </c>
      <c r="C89" s="15" t="inlineStr">
        <is>
          <t>C.15</t>
        </is>
      </c>
      <c r="D89" s="16" t="inlineStr">
        <is>
          <t>Désenfumage des cages d'escalier (si &gt; 1 étage)</t>
        </is>
      </c>
      <c r="E89" s="17" t="inlineStr">
        <is>
          <t>Art. R.4216-13</t>
        </is>
      </c>
    </row>
    <row r="90">
      <c r="A90" s="14" t="inlineStr">
        <is>
          <t>C. Incendie &amp; explosion</t>
        </is>
      </c>
      <c r="B90" s="14" t="inlineStr">
        <is>
          <t>Locaux IM2S</t>
        </is>
      </c>
      <c r="C90" s="15" t="inlineStr">
        <is>
          <t>C.16</t>
        </is>
      </c>
      <c r="D90" s="16" t="inlineStr">
        <is>
          <t>Locaux à risques particuliers isolés (stockage)</t>
        </is>
      </c>
      <c r="E90" s="17" t="inlineStr">
        <is>
          <t>Art. R.4227-22</t>
        </is>
      </c>
    </row>
    <row r="91">
      <c r="A91" s="14" t="inlineStr">
        <is>
          <t>C. Incendie &amp; explosion</t>
        </is>
      </c>
      <c r="B91" s="14" t="inlineStr">
        <is>
          <t>Extincteurs</t>
        </is>
      </c>
      <c r="C91" s="15" t="inlineStr">
        <is>
          <t>C.17</t>
        </is>
      </c>
      <c r="D91" s="16" t="inlineStr">
        <is>
          <t>Extincteurs 6 L eau pulvérisée — 1 pour 200 m² + 1/niveau min.</t>
        </is>
      </c>
      <c r="E91" s="17" t="inlineStr">
        <is>
          <t>Art. R.4227-29</t>
        </is>
      </c>
    </row>
    <row r="92">
      <c r="A92" s="14" t="inlineStr">
        <is>
          <t>C. Incendie &amp; explosion</t>
        </is>
      </c>
      <c r="B92" s="14" t="inlineStr">
        <is>
          <t>Extincteurs</t>
        </is>
      </c>
      <c r="C92" s="15" t="inlineStr">
        <is>
          <t>C.18</t>
        </is>
      </c>
      <c r="D92" s="16" t="inlineStr">
        <is>
          <t>Hauteur poignée extincteur ≤ 1,20 m</t>
        </is>
      </c>
      <c r="E92" s="17" t="inlineStr">
        <is>
          <t>Bonne pratique</t>
        </is>
      </c>
    </row>
    <row r="93">
      <c r="A93" s="14" t="inlineStr">
        <is>
          <t>C. Incendie &amp; explosion</t>
        </is>
      </c>
      <c r="B93" s="14" t="inlineStr">
        <is>
          <t>Extincteurs</t>
        </is>
      </c>
      <c r="C93" s="15" t="inlineStr">
        <is>
          <t>C.19</t>
        </is>
      </c>
      <c r="D93" s="16" t="inlineStr">
        <is>
          <t>Vérification annuelle par organisme certifié (APSAD R4)</t>
        </is>
      </c>
      <c r="E93" s="17" t="inlineStr">
        <is>
          <t>APSAD R4</t>
        </is>
      </c>
    </row>
    <row r="94">
      <c r="A94" s="14" t="inlineStr">
        <is>
          <t>C. Incendie &amp; explosion</t>
        </is>
      </c>
      <c r="B94" s="14" t="inlineStr">
        <is>
          <t>Extincteurs</t>
        </is>
      </c>
      <c r="C94" s="15" t="inlineStr">
        <is>
          <t>C.20</t>
        </is>
      </c>
      <c r="D94" s="16" t="inlineStr">
        <is>
          <t>Maintenance préventive triennale + révision décennale</t>
        </is>
      </c>
      <c r="E94" s="17" t="inlineStr">
        <is>
          <t>APSAD R4 / NF S 61-919</t>
        </is>
      </c>
    </row>
    <row r="95">
      <c r="A95" s="14" t="inlineStr">
        <is>
          <t>C. Incendie &amp; explosion</t>
        </is>
      </c>
      <c r="B95" s="14" t="inlineStr">
        <is>
          <t>Extincteurs</t>
        </is>
      </c>
      <c r="C95" s="15" t="inlineStr">
        <is>
          <t>C.21</t>
        </is>
      </c>
      <c r="D95" s="16" t="inlineStr">
        <is>
          <t>Signalisation au-dessus de chaque extincteur (norme NF X 08-003)</t>
        </is>
      </c>
      <c r="E95" s="17" t="inlineStr">
        <is>
          <t>NF X 08-003</t>
        </is>
      </c>
    </row>
    <row r="96">
      <c r="A96" s="14" t="inlineStr">
        <is>
          <t>C. Incendie &amp; explosion</t>
        </is>
      </c>
      <c r="B96" s="14" t="inlineStr">
        <is>
          <t>Extincteurs</t>
        </is>
      </c>
      <c r="C96" s="15" t="inlineStr">
        <is>
          <t>C.22</t>
        </is>
      </c>
      <c r="D96" s="16" t="inlineStr">
        <is>
          <t>Formation manipulation extincteurs ≥ 1 fois par an pour tout salarié</t>
        </is>
      </c>
      <c r="E96" s="17" t="inlineStr">
        <is>
          <t>Art. R.4227-39</t>
        </is>
      </c>
    </row>
    <row r="97">
      <c r="A97" s="14" t="inlineStr">
        <is>
          <t>C. Incendie &amp; explosion</t>
        </is>
      </c>
      <c r="B97" s="14" t="inlineStr">
        <is>
          <t>Stockage</t>
        </is>
      </c>
      <c r="C97" s="15" t="inlineStr">
        <is>
          <t>C.23</t>
        </is>
      </c>
      <c r="D97" s="16" t="inlineStr">
        <is>
          <t>Batteries plomb-acide stockées sur bac de rétention</t>
        </is>
      </c>
      <c r="E97" s="17" t="inlineStr">
        <is>
          <t>Code env.</t>
        </is>
      </c>
    </row>
    <row r="98">
      <c r="A98" s="14" t="inlineStr">
        <is>
          <t>C. Incendie &amp; explosion</t>
        </is>
      </c>
      <c r="B98" s="14" t="inlineStr">
        <is>
          <t>Stockage</t>
        </is>
      </c>
      <c r="C98" s="15" t="inlineStr">
        <is>
          <t>C.24</t>
        </is>
      </c>
      <c r="D98" s="16" t="inlineStr">
        <is>
          <t>Batteries Li-ion stockées en armoire ignifuge ou bac de sable</t>
        </is>
      </c>
      <c r="E98" s="17" t="inlineStr">
        <is>
          <t>INRS ED 6321</t>
        </is>
      </c>
    </row>
    <row r="99">
      <c r="A99" s="14" t="inlineStr">
        <is>
          <t>C. Incendie &amp; explosion</t>
        </is>
      </c>
      <c r="B99" s="14" t="inlineStr">
        <is>
          <t>Stockage</t>
        </is>
      </c>
      <c r="C99" s="15" t="inlineStr">
        <is>
          <t>C.25</t>
        </is>
      </c>
      <c r="D99" s="16" t="inlineStr">
        <is>
          <t>Séparation physique combustibles / comburants / explosifs</t>
        </is>
      </c>
      <c r="E99" s="17" t="inlineStr">
        <is>
          <t>Code env.</t>
        </is>
      </c>
    </row>
    <row r="100">
      <c r="A100" s="14" t="inlineStr">
        <is>
          <t>C. Incendie &amp; explosion</t>
        </is>
      </c>
      <c r="B100" s="14" t="inlineStr">
        <is>
          <t>Stockage</t>
        </is>
      </c>
      <c r="C100" s="15" t="inlineStr">
        <is>
          <t>C.26</t>
        </is>
      </c>
      <c r="D100" s="16" t="inlineStr">
        <is>
          <t>Quantités au poste limitées au besoin journalier</t>
        </is>
      </c>
      <c r="E100" s="17" t="inlineStr">
        <is>
          <t>Art. R.4227-22</t>
        </is>
      </c>
    </row>
    <row r="101">
      <c r="A101" s="14" t="inlineStr">
        <is>
          <t>C. Incendie &amp; explosion</t>
        </is>
      </c>
      <c r="B101" s="14" t="inlineStr">
        <is>
          <t>Stockage</t>
        </is>
      </c>
      <c r="C101" s="15" t="inlineStr">
        <is>
          <t>C.27</t>
        </is>
      </c>
      <c r="D101" s="16" t="inlineStr">
        <is>
          <t>Étiquetage CLP conforme (pictogrammes, mentions de danger)</t>
        </is>
      </c>
      <c r="E101" s="17" t="inlineStr">
        <is>
          <t>Règl. CE 1272/2008</t>
        </is>
      </c>
    </row>
    <row r="102">
      <c r="A102" s="14" t="inlineStr">
        <is>
          <t>C. Incendie &amp; explosion</t>
        </is>
      </c>
      <c r="B102" s="14" t="inlineStr">
        <is>
          <t>Stockage</t>
        </is>
      </c>
      <c r="C102" s="15" t="inlineStr">
        <is>
          <t>C.28</t>
        </is>
      </c>
      <c r="D102" s="16" t="inlineStr">
        <is>
          <t>Inventaire chimique à jour avec FDS (date &lt; 5 ans)</t>
        </is>
      </c>
      <c r="E102" s="17" t="inlineStr">
        <is>
          <t>Art. R.4412-6</t>
        </is>
      </c>
    </row>
    <row r="103">
      <c r="A103" s="14" t="inlineStr">
        <is>
          <t>C. Incendie &amp; explosion</t>
        </is>
      </c>
      <c r="B103" s="14" t="inlineStr">
        <is>
          <t>Vérifications</t>
        </is>
      </c>
      <c r="C103" s="15" t="inlineStr">
        <is>
          <t>C.29</t>
        </is>
      </c>
      <c r="D103" s="16" t="inlineStr">
        <is>
          <t>Q19 — Contrôle annuel SSI par organisme agréé</t>
        </is>
      </c>
      <c r="E103" s="17" t="inlineStr">
        <is>
          <t>Décret 88-1056</t>
        </is>
      </c>
    </row>
    <row r="104">
      <c r="A104" s="14" t="inlineStr">
        <is>
          <t>C. Incendie &amp; explosion</t>
        </is>
      </c>
      <c r="B104" s="14" t="inlineStr">
        <is>
          <t>Vérifications</t>
        </is>
      </c>
      <c r="C104" s="15" t="inlineStr">
        <is>
          <t>C.30</t>
        </is>
      </c>
      <c r="D104" s="16" t="inlineStr">
        <is>
          <t>Vérification triennale du SSI par organisme certifié APSAD</t>
        </is>
      </c>
      <c r="E104" s="17" t="inlineStr">
        <is>
          <t>APSAD R7</t>
        </is>
      </c>
    </row>
    <row r="105">
      <c r="A105" s="14" t="inlineStr">
        <is>
          <t>C. Incendie &amp; explosion</t>
        </is>
      </c>
      <c r="B105" s="14" t="inlineStr">
        <is>
          <t>Vérifications</t>
        </is>
      </c>
      <c r="C105" s="15" t="inlineStr">
        <is>
          <t>C.31</t>
        </is>
      </c>
      <c r="D105" s="16" t="inlineStr">
        <is>
          <t>Installations de chauffage contrôlées annuellement</t>
        </is>
      </c>
      <c r="E105" s="17" t="inlineStr">
        <is>
          <t>Art. R.4227-22</t>
        </is>
      </c>
    </row>
    <row r="106">
      <c r="A106" s="14" t="inlineStr">
        <is>
          <t>C. Incendie &amp; explosion</t>
        </is>
      </c>
      <c r="B106" s="14" t="inlineStr">
        <is>
          <t>ATEX</t>
        </is>
      </c>
      <c r="C106" s="15" t="inlineStr">
        <is>
          <t>C.32</t>
        </is>
      </c>
      <c r="D106" s="16" t="inlineStr">
        <is>
          <t>Identification des zones ATEX si applicables (zones 0/1/2/20/21/22)</t>
        </is>
      </c>
      <c r="E106" s="17" t="inlineStr">
        <is>
          <t>Décret 2002-1553</t>
        </is>
      </c>
    </row>
    <row r="107">
      <c r="A107" s="14" t="inlineStr">
        <is>
          <t>C. Incendie &amp; explosion</t>
        </is>
      </c>
      <c r="B107" s="14" t="inlineStr">
        <is>
          <t>ATEX</t>
        </is>
      </c>
      <c r="C107" s="15" t="inlineStr">
        <is>
          <t>C.33</t>
        </is>
      </c>
      <c r="D107" s="16" t="inlineStr">
        <is>
          <t>DRPCE (Document Relatif Protection Contre Explosions) si zones ATEX</t>
        </is>
      </c>
      <c r="E107" s="17" t="inlineStr">
        <is>
          <t>Art. R.4227-52</t>
        </is>
      </c>
    </row>
    <row r="108">
      <c r="A108" s="14" t="inlineStr">
        <is>
          <t>C. Incendie &amp; explosion</t>
        </is>
      </c>
      <c r="B108" s="14" t="inlineStr">
        <is>
          <t>Intervention ERP</t>
        </is>
      </c>
      <c r="C108" s="15" t="inlineStr">
        <is>
          <t>C.34</t>
        </is>
      </c>
      <c r="D108" s="16" t="inlineStr">
        <is>
          <t>Coordination obligatoire avec responsable d'exploitation client</t>
        </is>
      </c>
      <c r="E108" s="17" t="inlineStr">
        <is>
          <t>Règl. sécurité ERP</t>
        </is>
      </c>
    </row>
    <row r="109">
      <c r="A109" s="14" t="inlineStr">
        <is>
          <t>C. Incendie &amp; explosion</t>
        </is>
      </c>
      <c r="B109" s="14" t="inlineStr">
        <is>
          <t>Intervention ERP</t>
        </is>
      </c>
      <c r="C109" s="15" t="inlineStr">
        <is>
          <t>C.35</t>
        </is>
      </c>
      <c r="D109" s="16" t="inlineStr">
        <is>
          <t>Balisage zones intervention (rubalise, panneaux)</t>
        </is>
      </c>
      <c r="E109" s="17" t="inlineStr">
        <is>
          <t>Bonne pratique</t>
        </is>
      </c>
    </row>
    <row r="110">
      <c r="A110" s="14" t="inlineStr">
        <is>
          <t>C. Incendie &amp; explosion</t>
        </is>
      </c>
      <c r="B110" s="14" t="inlineStr">
        <is>
          <t>Intervention ERP</t>
        </is>
      </c>
      <c r="C110" s="15" t="inlineStr">
        <is>
          <t>C.36</t>
        </is>
      </c>
      <c r="D110" s="16" t="inlineStr">
        <is>
          <t>Affichage nature et durée intervention à proximité</t>
        </is>
      </c>
      <c r="E110" s="17" t="inlineStr">
        <is>
          <t>Bonne pratique</t>
        </is>
      </c>
    </row>
    <row r="111">
      <c r="A111" s="14" t="inlineStr">
        <is>
          <t>C. Incendie &amp; explosion</t>
        </is>
      </c>
      <c r="B111" s="14" t="inlineStr">
        <is>
          <t>Intervention ERP</t>
        </is>
      </c>
      <c r="C111" s="15" t="inlineStr">
        <is>
          <t>C.37</t>
        </is>
      </c>
      <c r="D111" s="16" t="inlineStr">
        <is>
          <t>Maintien des voies d'évacuation et dégagements</t>
        </is>
      </c>
      <c r="E111" s="17" t="inlineStr">
        <is>
          <t>Règl. sécurité ERP</t>
        </is>
      </c>
    </row>
    <row r="112">
      <c r="A112" s="14" t="inlineStr">
        <is>
          <t>C. Incendie &amp; explosion</t>
        </is>
      </c>
      <c r="B112" s="14" t="inlineStr">
        <is>
          <t>Maintenance SSI</t>
        </is>
      </c>
      <c r="C112" s="15" t="inlineStr">
        <is>
          <t>C.38</t>
        </is>
      </c>
      <c r="D112" s="16" t="inlineStr">
        <is>
          <t>Maintenance SSI selon NF S 61-933 — niveaux I à IV documentés</t>
        </is>
      </c>
      <c r="E112" s="17" t="inlineStr">
        <is>
          <t>NF S 61-933</t>
        </is>
      </c>
    </row>
    <row r="113">
      <c r="A113" s="18" t="inlineStr">
        <is>
          <t>D. Manutention &amp; TMS</t>
        </is>
      </c>
      <c r="B113" s="18" t="inlineStr">
        <is>
          <t>Évaluation</t>
        </is>
      </c>
      <c r="C113" s="13" t="inlineStr">
        <is>
          <t>D.01</t>
        </is>
      </c>
      <c r="D113" s="19" t="inlineStr">
        <is>
          <t>Postes de manutention manuelle recensés et évalués</t>
        </is>
      </c>
      <c r="E113" s="20" t="inlineStr">
        <is>
          <t>Art. R.4541-3</t>
        </is>
      </c>
    </row>
    <row r="114">
      <c r="A114" s="18" t="inlineStr">
        <is>
          <t>D. Manutention &amp; TMS</t>
        </is>
      </c>
      <c r="B114" s="18" t="inlineStr">
        <is>
          <t>Évaluation</t>
        </is>
      </c>
      <c r="C114" s="13" t="inlineStr">
        <is>
          <t>D.02</t>
        </is>
      </c>
      <c r="D114" s="19" t="inlineStr">
        <is>
          <t>Analyse détaillée des postes (pénibilité, répétitivité, charges, fréquence)</t>
        </is>
      </c>
      <c r="E114" s="20" t="inlineStr">
        <is>
          <t>Art. R.4541-4</t>
        </is>
      </c>
    </row>
    <row r="115">
      <c r="A115" s="18" t="inlineStr">
        <is>
          <t>D. Manutention &amp; TMS</t>
        </is>
      </c>
      <c r="B115" s="18" t="inlineStr">
        <is>
          <t>Évaluation</t>
        </is>
      </c>
      <c r="C115" s="13" t="inlineStr">
        <is>
          <t>D.03</t>
        </is>
      </c>
      <c r="D115" s="19" t="inlineStr">
        <is>
          <t>Liste des salariés manutentionnaires transmise au médecin du travail</t>
        </is>
      </c>
      <c r="E115" s="20" t="inlineStr">
        <is>
          <t>Art. R.4541-3</t>
        </is>
      </c>
    </row>
    <row r="116">
      <c r="A116" s="18" t="inlineStr">
        <is>
          <t>D. Manutention &amp; TMS</t>
        </is>
      </c>
      <c r="B116" s="18" t="inlineStr">
        <is>
          <t>Charges limites</t>
        </is>
      </c>
      <c r="C116" s="13" t="inlineStr">
        <is>
          <t>D.04</t>
        </is>
      </c>
      <c r="D116" s="19" t="inlineStr">
        <is>
          <t>Charges manuelles &gt; 55 kg interdites sans aide mécanique (hommes adultes)</t>
        </is>
      </c>
      <c r="E116" s="20" t="inlineStr">
        <is>
          <t>Art. R.4541-9</t>
        </is>
      </c>
    </row>
    <row r="117">
      <c r="A117" s="18" t="inlineStr">
        <is>
          <t>D. Manutention &amp; TMS</t>
        </is>
      </c>
      <c r="B117" s="18" t="inlineStr">
        <is>
          <t>Charges limites</t>
        </is>
      </c>
      <c r="C117" s="13" t="inlineStr">
        <is>
          <t>D.05</t>
        </is>
      </c>
      <c r="D117" s="19" t="inlineStr">
        <is>
          <t>Charges manuelles &gt; 25 kg interdites pour femmes adultes</t>
        </is>
      </c>
      <c r="E117" s="20" t="inlineStr">
        <is>
          <t>Art. R.4541-9</t>
        </is>
      </c>
    </row>
    <row r="118">
      <c r="A118" s="18" t="inlineStr">
        <is>
          <t>D. Manutention &amp; TMS</t>
        </is>
      </c>
      <c r="B118" s="18" t="inlineStr">
        <is>
          <t>Charges limites</t>
        </is>
      </c>
      <c r="C118" s="13" t="inlineStr">
        <is>
          <t>D.06</t>
        </is>
      </c>
      <c r="D118" s="19" t="inlineStr">
        <is>
          <t>Charges manuelles ≤ 20 kg pour jeunes 15-18 ans (avis méd.)</t>
        </is>
      </c>
      <c r="E118" s="20" t="inlineStr">
        <is>
          <t>Art. D.4153-39</t>
        </is>
      </c>
    </row>
    <row r="119">
      <c r="A119" s="18" t="inlineStr">
        <is>
          <t>D. Manutention &amp; TMS</t>
        </is>
      </c>
      <c r="B119" s="18" t="inlineStr">
        <is>
          <t>Aides mécaniques</t>
        </is>
      </c>
      <c r="C119" s="13" t="inlineStr">
        <is>
          <t>D.07</t>
        </is>
      </c>
      <c r="D119" s="19" t="inlineStr">
        <is>
          <t>Diables, transpalettes, chariots adaptés aux charges</t>
        </is>
      </c>
      <c r="E119" s="20" t="inlineStr">
        <is>
          <t>Art. R.4541-2</t>
        </is>
      </c>
    </row>
    <row r="120">
      <c r="A120" s="18" t="inlineStr">
        <is>
          <t>D. Manutention &amp; TMS</t>
        </is>
      </c>
      <c r="B120" s="18" t="inlineStr">
        <is>
          <t>Aides mécaniques</t>
        </is>
      </c>
      <c r="C120" s="13" t="inlineStr">
        <is>
          <t>D.08</t>
        </is>
      </c>
      <c r="D120" s="19" t="inlineStr">
        <is>
          <t>Sangles de portage à 2 personnes pour batteries lourdes</t>
        </is>
      </c>
      <c r="E120" s="20" t="inlineStr">
        <is>
          <t>Bonne pratique</t>
        </is>
      </c>
    </row>
    <row r="121">
      <c r="A121" s="18" t="inlineStr">
        <is>
          <t>D. Manutention &amp; TMS</t>
        </is>
      </c>
      <c r="B121" s="18" t="inlineStr">
        <is>
          <t>Aides mécaniques</t>
        </is>
      </c>
      <c r="C121" s="13" t="inlineStr">
        <is>
          <t>D.09</t>
        </is>
      </c>
      <c r="D121" s="19" t="inlineStr">
        <is>
          <t>Lève-vitre, ventouse pour panneaux SSI vitrés</t>
        </is>
      </c>
      <c r="E121" s="20" t="inlineStr">
        <is>
          <t>Bonne pratique</t>
        </is>
      </c>
    </row>
    <row r="122">
      <c r="A122" s="18" t="inlineStr">
        <is>
          <t>D. Manutention &amp; TMS</t>
        </is>
      </c>
      <c r="B122" s="18" t="inlineStr">
        <is>
          <t>Aides mécaniques</t>
        </is>
      </c>
      <c r="C122" s="13" t="inlineStr">
        <is>
          <t>D.10</t>
        </is>
      </c>
      <c r="D122" s="19" t="inlineStr">
        <is>
          <t>Engins de levage (palans, vérins) pour pièces &gt; 25 kg</t>
        </is>
      </c>
      <c r="E122" s="20" t="inlineStr">
        <is>
          <t>Art. R.4541-2</t>
        </is>
      </c>
    </row>
    <row r="123">
      <c r="A123" s="18" t="inlineStr">
        <is>
          <t>D. Manutention &amp; TMS</t>
        </is>
      </c>
      <c r="B123" s="18" t="inlineStr">
        <is>
          <t>Aides mécaniques</t>
        </is>
      </c>
      <c r="C123" s="13" t="inlineStr">
        <is>
          <t>D.11</t>
        </is>
      </c>
      <c r="D123" s="19" t="inlineStr">
        <is>
          <t>VGP semestrielle des engins de levage</t>
        </is>
      </c>
      <c r="E123" s="20" t="inlineStr">
        <is>
          <t>Arrêté 01/03/2004</t>
        </is>
      </c>
    </row>
    <row r="124">
      <c r="A124" s="18" t="inlineStr">
        <is>
          <t>D. Manutention &amp; TMS</t>
        </is>
      </c>
      <c r="B124" s="18" t="inlineStr">
        <is>
          <t>Formation PRAP</t>
        </is>
      </c>
      <c r="C124" s="13" t="inlineStr">
        <is>
          <t>D.12</t>
        </is>
      </c>
      <c r="D124" s="19" t="inlineStr">
        <is>
          <t>Formation gestes &amp; postures (PRAP) initiale pour tout manutentionnaire</t>
        </is>
      </c>
      <c r="E124" s="20" t="inlineStr">
        <is>
          <t>Art. R.4541-8</t>
        </is>
      </c>
    </row>
    <row r="125">
      <c r="A125" s="18" t="inlineStr">
        <is>
          <t>D. Manutention &amp; TMS</t>
        </is>
      </c>
      <c r="B125" s="18" t="inlineStr">
        <is>
          <t>Formation PRAP</t>
        </is>
      </c>
      <c r="C125" s="13" t="inlineStr">
        <is>
          <t>D.13</t>
        </is>
      </c>
      <c r="D125" s="19" t="inlineStr">
        <is>
          <t>Recyclage triennal de la formation PRAP</t>
        </is>
      </c>
      <c r="E125" s="20" t="inlineStr">
        <is>
          <t>Bonne pratique</t>
        </is>
      </c>
    </row>
    <row r="126">
      <c r="A126" s="18" t="inlineStr">
        <is>
          <t>D. Manutention &amp; TMS</t>
        </is>
      </c>
      <c r="B126" s="18" t="inlineStr">
        <is>
          <t>Formation PRAP</t>
        </is>
      </c>
      <c r="C126" s="13" t="inlineStr">
        <is>
          <t>D.14</t>
        </is>
      </c>
      <c r="D126" s="19" t="inlineStr">
        <is>
          <t>Formation spécifique levage et arrimage charges sur véhicule</t>
        </is>
      </c>
      <c r="E126" s="20" t="inlineStr">
        <is>
          <t>Reco. CARSAT R.482</t>
        </is>
      </c>
    </row>
    <row r="127">
      <c r="A127" s="18" t="inlineStr">
        <is>
          <t>D. Manutention &amp; TMS</t>
        </is>
      </c>
      <c r="B127" s="18" t="inlineStr">
        <is>
          <t>Aménagement</t>
        </is>
      </c>
      <c r="C127" s="13" t="inlineStr">
        <is>
          <t>D.15</t>
        </is>
      </c>
      <c r="D127" s="19" t="inlineStr">
        <is>
          <t>Magasin : pièces lourdes stockées en bas des rayonnages</t>
        </is>
      </c>
      <c r="E127" s="20" t="inlineStr">
        <is>
          <t>Art. R.4541-7</t>
        </is>
      </c>
    </row>
    <row r="128">
      <c r="A128" s="18" t="inlineStr">
        <is>
          <t>D. Manutention &amp; TMS</t>
        </is>
      </c>
      <c r="B128" s="18" t="inlineStr">
        <is>
          <t>Aménagement</t>
        </is>
      </c>
      <c r="C128" s="13" t="inlineStr">
        <is>
          <t>D.16</t>
        </is>
      </c>
      <c r="D128" s="19" t="inlineStr">
        <is>
          <t>Hauteurs de plan de travail à 90-100 cm pour limiter flexions</t>
        </is>
      </c>
      <c r="E128" s="20" t="inlineStr">
        <is>
          <t>INRS ED 957</t>
        </is>
      </c>
    </row>
    <row r="129">
      <c r="A129" s="18" t="inlineStr">
        <is>
          <t>D. Manutention &amp; TMS</t>
        </is>
      </c>
      <c r="B129" s="18" t="inlineStr">
        <is>
          <t>Aménagement</t>
        </is>
      </c>
      <c r="C129" s="13" t="inlineStr">
        <is>
          <t>D.17</t>
        </is>
      </c>
      <c r="D129" s="19" t="inlineStr">
        <is>
          <t>Rotation des tâches en chantier pour limiter cumul postures contraintes</t>
        </is>
      </c>
      <c r="E129" s="20" t="inlineStr">
        <is>
          <t>Art. R.4121-2</t>
        </is>
      </c>
    </row>
    <row r="130">
      <c r="A130" s="18" t="inlineStr">
        <is>
          <t>D. Manutention &amp; TMS</t>
        </is>
      </c>
      <c r="B130" s="18" t="inlineStr">
        <is>
          <t>Aménagement</t>
        </is>
      </c>
      <c r="C130" s="13" t="inlineStr">
        <is>
          <t>D.18</t>
        </is>
      </c>
      <c r="D130" s="19" t="inlineStr">
        <is>
          <t>Plages de récupération entre tâches lourdes</t>
        </is>
      </c>
      <c r="E130" s="20" t="inlineStr">
        <is>
          <t>Art. L.4121-2</t>
        </is>
      </c>
    </row>
    <row r="131">
      <c r="A131" s="18" t="inlineStr">
        <is>
          <t>D. Manutention &amp; TMS</t>
        </is>
      </c>
      <c r="B131" s="18" t="inlineStr">
        <is>
          <t>Postures</t>
        </is>
      </c>
      <c r="C131" s="13" t="inlineStr">
        <is>
          <t>D.19</t>
        </is>
      </c>
      <c r="D131" s="19" t="inlineStr">
        <is>
          <t>Postures bras levés / accroupies / en torsion identifiées et limitées</t>
        </is>
      </c>
      <c r="E131" s="20" t="inlineStr">
        <is>
          <t>INRS ED 957</t>
        </is>
      </c>
    </row>
    <row r="132">
      <c r="A132" s="18" t="inlineStr">
        <is>
          <t>D. Manutention &amp; TMS</t>
        </is>
      </c>
      <c r="B132" s="18" t="inlineStr">
        <is>
          <t>Postures</t>
        </is>
      </c>
      <c r="C132" s="13" t="inlineStr">
        <is>
          <t>D.20</t>
        </is>
      </c>
      <c r="D132" s="19" t="inlineStr">
        <is>
          <t>Travail en faux-plafond avec plateforme stable (pas accroupi sur poutre)</t>
        </is>
      </c>
      <c r="E132" s="20" t="inlineStr">
        <is>
          <t>Art. R.4323-58</t>
        </is>
      </c>
    </row>
    <row r="133">
      <c r="A133" s="18" t="inlineStr">
        <is>
          <t>D. Manutention &amp; TMS</t>
        </is>
      </c>
      <c r="B133" s="18" t="inlineStr">
        <is>
          <t>EPI manutention</t>
        </is>
      </c>
      <c r="C133" s="13" t="inlineStr">
        <is>
          <t>D.21</t>
        </is>
      </c>
      <c r="D133" s="19" t="inlineStr">
        <is>
          <t>Gants manutention (NF EN 388 niveau ≥ 3)</t>
        </is>
      </c>
      <c r="E133" s="20" t="inlineStr">
        <is>
          <t>Art. R.4323-95</t>
        </is>
      </c>
    </row>
    <row r="134">
      <c r="A134" s="18" t="inlineStr">
        <is>
          <t>D. Manutention &amp; TMS</t>
        </is>
      </c>
      <c r="B134" s="18" t="inlineStr">
        <is>
          <t>EPI manutention</t>
        </is>
      </c>
      <c r="C134" s="13" t="inlineStr">
        <is>
          <t>D.22</t>
        </is>
      </c>
      <c r="D134" s="19" t="inlineStr">
        <is>
          <t>Chaussures de sécurité S3 antiperforation</t>
        </is>
      </c>
      <c r="E134" s="20" t="inlineStr">
        <is>
          <t>NF EN ISO 20345</t>
        </is>
      </c>
    </row>
    <row r="135">
      <c r="A135" s="18" t="inlineStr">
        <is>
          <t>D. Manutention &amp; TMS</t>
        </is>
      </c>
      <c r="B135" s="18" t="inlineStr">
        <is>
          <t>EPI manutention</t>
        </is>
      </c>
      <c r="C135" s="13" t="inlineStr">
        <is>
          <t>D.23</t>
        </is>
      </c>
      <c r="D135" s="19" t="inlineStr">
        <is>
          <t>Genouillères pour travail à genoux (pose détecteurs au sol)</t>
        </is>
      </c>
      <c r="E135" s="20" t="inlineStr">
        <is>
          <t>Bonne pratique</t>
        </is>
      </c>
    </row>
    <row r="136">
      <c r="A136" s="18" t="inlineStr">
        <is>
          <t>D. Manutention &amp; TMS</t>
        </is>
      </c>
      <c r="B136" s="18" t="inlineStr">
        <is>
          <t>EPI manutention</t>
        </is>
      </c>
      <c r="C136" s="13" t="inlineStr">
        <is>
          <t>D.24</t>
        </is>
      </c>
      <c r="D136" s="19" t="inlineStr">
        <is>
          <t>Ceintures lombaires interdites en prévention (CARSAT - INRS)</t>
        </is>
      </c>
      <c r="E136" s="20" t="inlineStr">
        <is>
          <t>Position INRS</t>
        </is>
      </c>
    </row>
    <row r="137">
      <c r="A137" s="18" t="inlineStr">
        <is>
          <t>D. Manutention &amp; TMS</t>
        </is>
      </c>
      <c r="B137" s="18" t="inlineStr">
        <is>
          <t>Écrans (UT1/UT6)</t>
        </is>
      </c>
      <c r="C137" s="13" t="inlineStr">
        <is>
          <t>D.25</t>
        </is>
      </c>
      <c r="D137" s="19" t="inlineStr">
        <is>
          <t>Postes informatiques ergonomiques (siège réglable, écran à hauteur des yeux)</t>
        </is>
      </c>
      <c r="E137" s="20" t="inlineStr">
        <is>
          <t>Art. R.4542-1</t>
        </is>
      </c>
    </row>
    <row r="138">
      <c r="A138" s="18" t="inlineStr">
        <is>
          <t>D. Manutention &amp; TMS</t>
        </is>
      </c>
      <c r="B138" s="18" t="inlineStr">
        <is>
          <t>Écrans (UT1/UT6)</t>
        </is>
      </c>
      <c r="C138" s="13" t="inlineStr">
        <is>
          <t>D.26</t>
        </is>
      </c>
      <c r="D138" s="19" t="inlineStr">
        <is>
          <t>Distance écran-yeux 60-80 cm</t>
        </is>
      </c>
      <c r="E138" s="20" t="inlineStr">
        <is>
          <t>Art. R.4542-3</t>
        </is>
      </c>
    </row>
    <row r="139">
      <c r="A139" s="18" t="inlineStr">
        <is>
          <t>D. Manutention &amp; TMS</t>
        </is>
      </c>
      <c r="B139" s="18" t="inlineStr">
        <is>
          <t>Écrans (UT1/UT6)</t>
        </is>
      </c>
      <c r="C139" s="13" t="inlineStr">
        <is>
          <t>D.27</t>
        </is>
      </c>
      <c r="D139" s="19" t="inlineStr">
        <is>
          <t>Repose-pieds, repose-poignets sur demande</t>
        </is>
      </c>
      <c r="E139" s="20" t="inlineStr">
        <is>
          <t>Art. R.4542-7</t>
        </is>
      </c>
    </row>
    <row r="140">
      <c r="A140" s="18" t="inlineStr">
        <is>
          <t>D. Manutention &amp; TMS</t>
        </is>
      </c>
      <c r="B140" s="18" t="inlineStr">
        <is>
          <t>Écrans (UT1/UT6)</t>
        </is>
      </c>
      <c r="C140" s="13" t="inlineStr">
        <is>
          <t>D.28</t>
        </is>
      </c>
      <c r="D140" s="19" t="inlineStr">
        <is>
          <t>Examen ophtalmologique tous les 5 ans par médecin du travail</t>
        </is>
      </c>
      <c r="E140" s="20" t="inlineStr">
        <is>
          <t>Art. R.4542-17</t>
        </is>
      </c>
    </row>
    <row r="141">
      <c r="A141" s="18" t="inlineStr">
        <is>
          <t>D. Manutention &amp; TMS</t>
        </is>
      </c>
      <c r="B141" s="18" t="inlineStr">
        <is>
          <t>Écrans (UT1/UT6)</t>
        </is>
      </c>
      <c r="C141" s="13" t="inlineStr">
        <is>
          <t>D.29</t>
        </is>
      </c>
      <c r="D141" s="19" t="inlineStr">
        <is>
          <t>Pause visuelle 5 min / heure (règle des 20/20/20)</t>
        </is>
      </c>
      <c r="E141" s="20" t="inlineStr">
        <is>
          <t>Bonne pratique INRS</t>
        </is>
      </c>
    </row>
    <row r="142">
      <c r="A142" s="18" t="inlineStr">
        <is>
          <t>D. Manutention &amp; TMS</t>
        </is>
      </c>
      <c r="B142" s="18" t="inlineStr">
        <is>
          <t>Vibrations</t>
        </is>
      </c>
      <c r="C142" s="13" t="inlineStr">
        <is>
          <t>D.30</t>
        </is>
      </c>
      <c r="D142" s="19" t="inlineStr">
        <is>
          <t>Évaluation exposition vibrations main-bras (perceuses, perforateurs)</t>
        </is>
      </c>
      <c r="E142" s="20" t="inlineStr">
        <is>
          <t>Art. R.4444-2</t>
        </is>
      </c>
    </row>
    <row r="143">
      <c r="A143" s="18" t="inlineStr">
        <is>
          <t>D. Manutention &amp; TMS</t>
        </is>
      </c>
      <c r="B143" s="18" t="inlineStr">
        <is>
          <t>Vibrations</t>
        </is>
      </c>
      <c r="C143" s="13" t="inlineStr">
        <is>
          <t>D.31</t>
        </is>
      </c>
      <c r="D143" s="19" t="inlineStr">
        <is>
          <t>VLEP A(8) = 5 m/s² respectée</t>
        </is>
      </c>
      <c r="E143" s="20" t="inlineStr">
        <is>
          <t>Art. R.4443-1</t>
        </is>
      </c>
    </row>
    <row r="144">
      <c r="A144" s="18" t="inlineStr">
        <is>
          <t>D. Manutention &amp; TMS</t>
        </is>
      </c>
      <c r="B144" s="18" t="inlineStr">
        <is>
          <t>Vibrations</t>
        </is>
      </c>
      <c r="C144" s="13" t="inlineStr">
        <is>
          <t>D.32</t>
        </is>
      </c>
      <c r="D144" s="19" t="inlineStr">
        <is>
          <t>Achat d'outils à faible niveau de vibration certifié fabricant</t>
        </is>
      </c>
      <c r="E144" s="20" t="inlineStr">
        <is>
          <t>Art. R.4445-1</t>
        </is>
      </c>
    </row>
    <row r="145">
      <c r="A145" s="18" t="inlineStr">
        <is>
          <t>D. Manutention &amp; TMS</t>
        </is>
      </c>
      <c r="B145" s="18" t="inlineStr">
        <is>
          <t>Vibrations</t>
        </is>
      </c>
      <c r="C145" s="13" t="inlineStr">
        <is>
          <t>D.33</t>
        </is>
      </c>
      <c r="D145" s="19" t="inlineStr">
        <is>
          <t>Rotation des tâches vibrantes entre plusieurs salariés</t>
        </is>
      </c>
      <c r="E145" s="20" t="inlineStr">
        <is>
          <t>Art. R.4445-2</t>
        </is>
      </c>
    </row>
    <row r="146">
      <c r="A146" s="18" t="inlineStr">
        <is>
          <t>D. Manutention &amp; TMS</t>
        </is>
      </c>
      <c r="B146" s="18" t="inlineStr">
        <is>
          <t>Suivi médical</t>
        </is>
      </c>
      <c r="C146" s="13" t="inlineStr">
        <is>
          <t>D.34</t>
        </is>
      </c>
      <c r="D146" s="19" t="inlineStr">
        <is>
          <t>SIR (suivi individuel renforcé) pour travailleurs exposés TMS</t>
        </is>
      </c>
      <c r="E146" s="20" t="inlineStr">
        <is>
          <t>Art. R.4624-23</t>
        </is>
      </c>
    </row>
    <row r="147">
      <c r="A147" s="18" t="inlineStr">
        <is>
          <t>D. Manutention &amp; TMS</t>
        </is>
      </c>
      <c r="B147" s="18" t="inlineStr">
        <is>
          <t>Suivi médical</t>
        </is>
      </c>
      <c r="C147" s="13" t="inlineStr">
        <is>
          <t>D.35</t>
        </is>
      </c>
      <c r="D147" s="19" t="inlineStr">
        <is>
          <t>Surveillance médicale renforcée pour &gt; 45 ans manutentionnaires</t>
        </is>
      </c>
      <c r="E147" s="20" t="inlineStr">
        <is>
          <t>Bonne pratique</t>
        </is>
      </c>
    </row>
    <row r="148">
      <c r="A148" s="18" t="inlineStr">
        <is>
          <t>D. Manutention &amp; TMS</t>
        </is>
      </c>
      <c r="B148" s="18" t="inlineStr">
        <is>
          <t>Pénibilité</t>
        </is>
      </c>
      <c r="C148" s="13" t="inlineStr">
        <is>
          <t>D.36</t>
        </is>
      </c>
      <c r="D148" s="19" t="inlineStr">
        <is>
          <t>Compte professionnel de prévention (C2P) déclaré pour facteurs concernés</t>
        </is>
      </c>
      <c r="E148" s="20" t="inlineStr">
        <is>
          <t>Art. L.4163-1</t>
        </is>
      </c>
    </row>
    <row r="149">
      <c r="A149" s="14" t="inlineStr">
        <is>
          <t>E. Risque routier</t>
        </is>
      </c>
      <c r="B149" s="14" t="inlineStr">
        <is>
          <t>Évaluation</t>
        </is>
      </c>
      <c r="C149" s="15" t="inlineStr">
        <is>
          <t>E.01</t>
        </is>
      </c>
      <c r="D149" s="16" t="inlineStr">
        <is>
          <t>Risque routier évalué dans le DUERP (mission + trajet)</t>
        </is>
      </c>
      <c r="E149" s="17" t="inlineStr">
        <is>
          <t>Art. L.4121-1</t>
        </is>
      </c>
    </row>
    <row r="150">
      <c r="A150" s="14" t="inlineStr">
        <is>
          <t>E. Risque routier</t>
        </is>
      </c>
      <c r="B150" s="14" t="inlineStr">
        <is>
          <t>Évaluation</t>
        </is>
      </c>
      <c r="C150" s="15" t="inlineStr">
        <is>
          <t>E.02</t>
        </is>
      </c>
      <c r="D150" s="16" t="inlineStr">
        <is>
          <t>Analyse des déplacements (fréquence, distance, durée, véhicules)</t>
        </is>
      </c>
      <c r="E150" s="17" t="inlineStr">
        <is>
          <t>Reco. CARSAT R.471</t>
        </is>
      </c>
    </row>
    <row r="151">
      <c r="A151" s="14" t="inlineStr">
        <is>
          <t>E. Risque routier</t>
        </is>
      </c>
      <c r="B151" s="14" t="inlineStr">
        <is>
          <t>Évaluation</t>
        </is>
      </c>
      <c r="C151" s="15" t="inlineStr">
        <is>
          <t>E.03</t>
        </is>
      </c>
      <c r="D151" s="16" t="inlineStr">
        <is>
          <t>Liste précise des conducteurs (chauffeur-livreurs, commerciaux, techniciens)</t>
        </is>
      </c>
      <c r="E151" s="17" t="inlineStr">
        <is>
          <t>Reco. CARSAT R.471</t>
        </is>
      </c>
    </row>
    <row r="152">
      <c r="A152" s="14" t="inlineStr">
        <is>
          <t>E. Risque routier</t>
        </is>
      </c>
      <c r="B152" s="14" t="inlineStr">
        <is>
          <t>Charte/RI</t>
        </is>
      </c>
      <c r="C152" s="15" t="inlineStr">
        <is>
          <t>E.04</t>
        </is>
      </c>
      <c r="D152" s="16" t="inlineStr">
        <is>
          <t>Charte des déplacements routiers professionnels rédigée et diffusée</t>
        </is>
      </c>
      <c r="E152" s="17" t="inlineStr">
        <is>
          <t>Reco. CARSAT R.471</t>
        </is>
      </c>
    </row>
    <row r="153">
      <c r="A153" s="14" t="inlineStr">
        <is>
          <t>E. Risque routier</t>
        </is>
      </c>
      <c r="B153" s="14" t="inlineStr">
        <is>
          <t>Charte/RI</t>
        </is>
      </c>
      <c r="C153" s="15" t="inlineStr">
        <is>
          <t>E.05</t>
        </is>
      </c>
      <c r="D153" s="16" t="inlineStr">
        <is>
          <t>Interdiction alcool / stupéfiants au volant inscrite au RI</t>
        </is>
      </c>
      <c r="E153" s="17" t="inlineStr">
        <is>
          <t>Code de la route</t>
        </is>
      </c>
    </row>
    <row r="154">
      <c r="A154" s="14" t="inlineStr">
        <is>
          <t>E. Risque routier</t>
        </is>
      </c>
      <c r="B154" s="14" t="inlineStr">
        <is>
          <t>Charte/RI</t>
        </is>
      </c>
      <c r="C154" s="15" t="inlineStr">
        <is>
          <t>E.06</t>
        </is>
      </c>
      <c r="D154" s="16" t="inlineStr">
        <is>
          <t>Interdiction téléphone au volant même main-libre</t>
        </is>
      </c>
      <c r="E154" s="17" t="inlineStr">
        <is>
          <t>Art. R.412-6-1 CR</t>
        </is>
      </c>
    </row>
    <row r="155">
      <c r="A155" s="14" t="inlineStr">
        <is>
          <t>E. Risque routier</t>
        </is>
      </c>
      <c r="B155" s="14" t="inlineStr">
        <is>
          <t>Charte/RI</t>
        </is>
      </c>
      <c r="C155" s="15" t="inlineStr">
        <is>
          <t>E.07</t>
        </is>
      </c>
      <c r="D155" s="16" t="inlineStr">
        <is>
          <t>Pauses obligatoires toutes les 2 h</t>
        </is>
      </c>
      <c r="E155" s="17" t="inlineStr">
        <is>
          <t>Code de la route</t>
        </is>
      </c>
    </row>
    <row r="156">
      <c r="A156" s="14" t="inlineStr">
        <is>
          <t>E. Risque routier</t>
        </is>
      </c>
      <c r="B156" s="14" t="inlineStr">
        <is>
          <t>Charte/RI</t>
        </is>
      </c>
      <c r="C156" s="15" t="inlineStr">
        <is>
          <t>E.08</t>
        </is>
      </c>
      <c r="D156" s="16" t="inlineStr">
        <is>
          <t>Vitesse adaptée aux conditions (intempéries, fatigue)</t>
        </is>
      </c>
      <c r="E156" s="17" t="inlineStr">
        <is>
          <t>Code de la route</t>
        </is>
      </c>
    </row>
    <row r="157">
      <c r="A157" s="14" t="inlineStr">
        <is>
          <t>E. Risque routier</t>
        </is>
      </c>
      <c r="B157" s="14" t="inlineStr">
        <is>
          <t>Permis</t>
        </is>
      </c>
      <c r="C157" s="15" t="inlineStr">
        <is>
          <t>E.09</t>
        </is>
      </c>
      <c r="D157" s="16" t="inlineStr">
        <is>
          <t>Vérification annuelle des permis de conduire des salariés</t>
        </is>
      </c>
      <c r="E157" s="17" t="inlineStr">
        <is>
          <t>Reco. CARSAT R.471</t>
        </is>
      </c>
    </row>
    <row r="158">
      <c r="A158" s="14" t="inlineStr">
        <is>
          <t>E. Risque routier</t>
        </is>
      </c>
      <c r="B158" s="14" t="inlineStr">
        <is>
          <t>Permis</t>
        </is>
      </c>
      <c r="C158" s="15" t="inlineStr">
        <is>
          <t>E.10</t>
        </is>
      </c>
      <c r="D158" s="16" t="inlineStr">
        <is>
          <t>Permis BE pour remorques &gt; 750 kg si applicable</t>
        </is>
      </c>
      <c r="E158" s="17" t="inlineStr">
        <is>
          <t>Code de la route</t>
        </is>
      </c>
    </row>
    <row r="159">
      <c r="A159" s="14" t="inlineStr">
        <is>
          <t>E. Risque routier</t>
        </is>
      </c>
      <c r="B159" s="14" t="inlineStr">
        <is>
          <t>Permis</t>
        </is>
      </c>
      <c r="C159" s="15" t="inlineStr">
        <is>
          <t>E.11</t>
        </is>
      </c>
      <c r="D159" s="16" t="inlineStr">
        <is>
          <t>Permis C si véhicule &gt; 3,5 tonnes</t>
        </is>
      </c>
      <c r="E159" s="17" t="inlineStr">
        <is>
          <t>Code de la route</t>
        </is>
      </c>
    </row>
    <row r="160">
      <c r="A160" s="14" t="inlineStr">
        <is>
          <t>E. Risque routier</t>
        </is>
      </c>
      <c r="B160" s="14" t="inlineStr">
        <is>
          <t>Formation</t>
        </is>
      </c>
      <c r="C160" s="15" t="inlineStr">
        <is>
          <t>E.12</t>
        </is>
      </c>
      <c r="D160" s="16" t="inlineStr">
        <is>
          <t>Formation post-permis ou stage CARSAT pour tous conducteurs</t>
        </is>
      </c>
      <c r="E160" s="17" t="inlineStr">
        <is>
          <t>Reco. CARSAT R.471</t>
        </is>
      </c>
    </row>
    <row r="161">
      <c r="A161" s="14" t="inlineStr">
        <is>
          <t>E. Risque routier</t>
        </is>
      </c>
      <c r="B161" s="14" t="inlineStr">
        <is>
          <t>Formation</t>
        </is>
      </c>
      <c r="C161" s="15" t="inlineStr">
        <is>
          <t>E.13</t>
        </is>
      </c>
      <c r="D161" s="16" t="inlineStr">
        <is>
          <t>Formation éco-conduite et conduite préventive</t>
        </is>
      </c>
      <c r="E161" s="17" t="inlineStr">
        <is>
          <t>Reco. CARSAT R.471</t>
        </is>
      </c>
    </row>
    <row r="162">
      <c r="A162" s="14" t="inlineStr">
        <is>
          <t>E. Risque routier</t>
        </is>
      </c>
      <c r="B162" s="14" t="inlineStr">
        <is>
          <t>Formation</t>
        </is>
      </c>
      <c r="C162" s="15" t="inlineStr">
        <is>
          <t>E.14</t>
        </is>
      </c>
      <c r="D162" s="16" t="inlineStr">
        <is>
          <t>Sensibilisation annuelle au risque routier (campagnes)</t>
        </is>
      </c>
      <c r="E162" s="17" t="inlineStr">
        <is>
          <t>Bonne pratique</t>
        </is>
      </c>
    </row>
    <row r="163">
      <c r="A163" s="14" t="inlineStr">
        <is>
          <t>E. Risque routier</t>
        </is>
      </c>
      <c r="B163" s="14" t="inlineStr">
        <is>
          <t>Véhicules</t>
        </is>
      </c>
      <c r="C163" s="15" t="inlineStr">
        <is>
          <t>E.15</t>
        </is>
      </c>
      <c r="D163" s="16" t="inlineStr">
        <is>
          <t>Liste du parc véhicules à jour (marque, immat., conducteur)</t>
        </is>
      </c>
      <c r="E163" s="17" t="inlineStr">
        <is>
          <t>Reco. CARSAT R.471</t>
        </is>
      </c>
    </row>
    <row r="164">
      <c r="A164" s="14" t="inlineStr">
        <is>
          <t>E. Risque routier</t>
        </is>
      </c>
      <c r="B164" s="14" t="inlineStr">
        <is>
          <t>Véhicules</t>
        </is>
      </c>
      <c r="C164" s="15" t="inlineStr">
        <is>
          <t>E.16</t>
        </is>
      </c>
      <c r="D164" s="16" t="inlineStr">
        <is>
          <t>Carnet d'entretien à jour pour chaque véhicule</t>
        </is>
      </c>
      <c r="E164" s="17" t="inlineStr">
        <is>
          <t>Code de la route</t>
        </is>
      </c>
    </row>
    <row r="165">
      <c r="A165" s="14" t="inlineStr">
        <is>
          <t>E. Risque routier</t>
        </is>
      </c>
      <c r="B165" s="14" t="inlineStr">
        <is>
          <t>Véhicules</t>
        </is>
      </c>
      <c r="C165" s="15" t="inlineStr">
        <is>
          <t>E.17</t>
        </is>
      </c>
      <c r="D165" s="16" t="inlineStr">
        <is>
          <t>Contrôle technique conforme (validité ≤ 2 ans VL, 1 an VUL &gt; 3,5 t)</t>
        </is>
      </c>
      <c r="E165" s="17" t="inlineStr">
        <is>
          <t>Code de la route</t>
        </is>
      </c>
    </row>
    <row r="166">
      <c r="A166" s="14" t="inlineStr">
        <is>
          <t>E. Risque routier</t>
        </is>
      </c>
      <c r="B166" s="14" t="inlineStr">
        <is>
          <t>Véhicules</t>
        </is>
      </c>
      <c r="C166" s="15" t="inlineStr">
        <is>
          <t>E.18</t>
        </is>
      </c>
      <c r="D166" s="16" t="inlineStr">
        <is>
          <t>Vérification quotidienne par conducteur (pneus, niveaux, éclairage)</t>
        </is>
      </c>
      <c r="E166" s="17" t="inlineStr">
        <is>
          <t>Bonne pratique</t>
        </is>
      </c>
    </row>
    <row r="167">
      <c r="A167" s="14" t="inlineStr">
        <is>
          <t>E. Risque routier</t>
        </is>
      </c>
      <c r="B167" s="14" t="inlineStr">
        <is>
          <t>Véhicules</t>
        </is>
      </c>
      <c r="C167" s="15" t="inlineStr">
        <is>
          <t>E.19</t>
        </is>
      </c>
      <c r="D167" s="16" t="inlineStr">
        <is>
          <t>Trousse de secours à jour (date péremption) dans chaque véhicule</t>
        </is>
      </c>
      <c r="E167" s="17" t="inlineStr">
        <is>
          <t>Bonne pratique</t>
        </is>
      </c>
    </row>
    <row r="168">
      <c r="A168" s="14" t="inlineStr">
        <is>
          <t>E. Risque routier</t>
        </is>
      </c>
      <c r="B168" s="14" t="inlineStr">
        <is>
          <t>Véhicules</t>
        </is>
      </c>
      <c r="C168" s="15" t="inlineStr">
        <is>
          <t>E.20</t>
        </is>
      </c>
      <c r="D168" s="16" t="inlineStr">
        <is>
          <t>Extincteur à eau pulvérisée dans chaque VUL chargé matériel</t>
        </is>
      </c>
      <c r="E168" s="17" t="inlineStr">
        <is>
          <t>Bonne pratique</t>
        </is>
      </c>
    </row>
    <row r="169">
      <c r="A169" s="14" t="inlineStr">
        <is>
          <t>E. Risque routier</t>
        </is>
      </c>
      <c r="B169" s="14" t="inlineStr">
        <is>
          <t>Véhicules</t>
        </is>
      </c>
      <c r="C169" s="15" t="inlineStr">
        <is>
          <t>E.21</t>
        </is>
      </c>
      <c r="D169" s="16" t="inlineStr">
        <is>
          <t>Gilet haute visibilité + triangle obligatoires</t>
        </is>
      </c>
      <c r="E169" s="17" t="inlineStr">
        <is>
          <t>Code de la route</t>
        </is>
      </c>
    </row>
    <row r="170">
      <c r="A170" s="14" t="inlineStr">
        <is>
          <t>E. Risque routier</t>
        </is>
      </c>
      <c r="B170" s="14" t="inlineStr">
        <is>
          <t>Véhicules</t>
        </is>
      </c>
      <c r="C170" s="15" t="inlineStr">
        <is>
          <t>E.22</t>
        </is>
      </c>
      <c r="D170" s="16" t="inlineStr">
        <is>
          <t>Séparation habitacle / chargement pour VUL</t>
        </is>
      </c>
      <c r="E170" s="17" t="inlineStr">
        <is>
          <t>Bonne pratique</t>
        </is>
      </c>
    </row>
    <row r="171">
      <c r="A171" s="14" t="inlineStr">
        <is>
          <t>E. Risque routier</t>
        </is>
      </c>
      <c r="B171" s="14" t="inlineStr">
        <is>
          <t>Véhicules</t>
        </is>
      </c>
      <c r="C171" s="15" t="inlineStr">
        <is>
          <t>E.23</t>
        </is>
      </c>
      <c r="D171" s="16" t="inlineStr">
        <is>
          <t>Systèmes de sécurité (ABS, ESP, airbags, limiteur vitesse)</t>
        </is>
      </c>
      <c r="E171" s="17" t="inlineStr">
        <is>
          <t>Bonne pratique</t>
        </is>
      </c>
    </row>
    <row r="172">
      <c r="A172" s="14" t="inlineStr">
        <is>
          <t>E. Risque routier</t>
        </is>
      </c>
      <c r="B172" s="14" t="inlineStr">
        <is>
          <t>Arrimage</t>
        </is>
      </c>
      <c r="C172" s="15" t="inlineStr">
        <is>
          <t>E.24</t>
        </is>
      </c>
      <c r="D172" s="16" t="inlineStr">
        <is>
          <t>Formation arrimage charges (sangles, blocages, points d'ancrage)</t>
        </is>
      </c>
      <c r="E172" s="17" t="inlineStr">
        <is>
          <t>Reco. CARSAT R.471</t>
        </is>
      </c>
    </row>
    <row r="173">
      <c r="A173" s="14" t="inlineStr">
        <is>
          <t>E. Risque routier</t>
        </is>
      </c>
      <c r="B173" s="14" t="inlineStr">
        <is>
          <t>Arrimage</t>
        </is>
      </c>
      <c r="C173" s="15" t="inlineStr">
        <is>
          <t>E.25</t>
        </is>
      </c>
      <c r="D173" s="16" t="inlineStr">
        <is>
          <t>Sangles d'arrimage conformes (NF EN 12195-2) avec étiquetage charge utile</t>
        </is>
      </c>
      <c r="E173" s="17" t="inlineStr">
        <is>
          <t>NF EN 12195</t>
        </is>
      </c>
    </row>
    <row r="174">
      <c r="A174" s="14" t="inlineStr">
        <is>
          <t>E. Risque routier</t>
        </is>
      </c>
      <c r="B174" s="14" t="inlineStr">
        <is>
          <t>Arrimage</t>
        </is>
      </c>
      <c r="C174" s="15" t="inlineStr">
        <is>
          <t>E.26</t>
        </is>
      </c>
      <c r="D174" s="16" t="inlineStr">
        <is>
          <t>Bouteilles de gaz (acétylène) transportées en position verticale et arrimées</t>
        </is>
      </c>
      <c r="E174" s="17" t="inlineStr">
        <is>
          <t>ADR</t>
        </is>
      </c>
    </row>
    <row r="175">
      <c r="A175" s="14" t="inlineStr">
        <is>
          <t>E. Risque routier</t>
        </is>
      </c>
      <c r="B175" s="14" t="inlineStr">
        <is>
          <t>Organisation</t>
        </is>
      </c>
      <c r="C175" s="15" t="inlineStr">
        <is>
          <t>E.27</t>
        </is>
      </c>
      <c r="D175" s="16" t="inlineStr">
        <is>
          <t>Optimisation des tournées (regroupement géographique)</t>
        </is>
      </c>
      <c r="E175" s="17" t="inlineStr">
        <is>
          <t>Reco. CARSAT R.471</t>
        </is>
      </c>
    </row>
    <row r="176">
      <c r="A176" s="14" t="inlineStr">
        <is>
          <t>E. Risque routier</t>
        </is>
      </c>
      <c r="B176" s="14" t="inlineStr">
        <is>
          <t>Organisation</t>
        </is>
      </c>
      <c r="C176" s="15" t="inlineStr">
        <is>
          <t>E.28</t>
        </is>
      </c>
      <c r="D176" s="16" t="inlineStr">
        <is>
          <t>Feuille de route fournie pour déplacements longs</t>
        </is>
      </c>
      <c r="E176" s="17" t="inlineStr">
        <is>
          <t>Reco. CARSAT R.471</t>
        </is>
      </c>
    </row>
    <row r="177">
      <c r="A177" s="14" t="inlineStr">
        <is>
          <t>E. Risque routier</t>
        </is>
      </c>
      <c r="B177" s="14" t="inlineStr">
        <is>
          <t>Organisation</t>
        </is>
      </c>
      <c r="C177" s="15" t="inlineStr">
        <is>
          <t>E.29</t>
        </is>
      </c>
      <c r="D177" s="16" t="inlineStr">
        <is>
          <t>Audio/visioconférence privilégiée si possible</t>
        </is>
      </c>
      <c r="E177" s="17" t="inlineStr">
        <is>
          <t>Bonne pratique</t>
        </is>
      </c>
    </row>
    <row r="178">
      <c r="A178" s="14" t="inlineStr">
        <is>
          <t>E. Risque routier</t>
        </is>
      </c>
      <c r="B178" s="14" t="inlineStr">
        <is>
          <t>Organisation</t>
        </is>
      </c>
      <c r="C178" s="15" t="inlineStr">
        <is>
          <t>E.30</t>
        </is>
      </c>
      <c r="D178" s="16" t="inlineStr">
        <is>
          <t>Limitation des déplacements &gt; certaine distance ou temps de conduite</t>
        </is>
      </c>
      <c r="E178" s="17" t="inlineStr">
        <is>
          <t>Reco. CARSAT R.471</t>
        </is>
      </c>
    </row>
    <row r="179">
      <c r="A179" s="14" t="inlineStr">
        <is>
          <t>E. Risque routier</t>
        </is>
      </c>
      <c r="B179" s="14" t="inlineStr">
        <is>
          <t>Trajet domicile-travail</t>
        </is>
      </c>
      <c r="C179" s="15" t="inlineStr">
        <is>
          <t>E.31</t>
        </is>
      </c>
      <c r="D179" s="16" t="inlineStr">
        <is>
          <t>Sensibilisation annuelle aux trajets domicile-travail</t>
        </is>
      </c>
      <c r="E179" s="17" t="inlineStr">
        <is>
          <t>Art. L.411-2 CSS</t>
        </is>
      </c>
    </row>
    <row r="180">
      <c r="A180" s="14" t="inlineStr">
        <is>
          <t>E. Risque routier</t>
        </is>
      </c>
      <c r="B180" s="14" t="inlineStr">
        <is>
          <t>Trajet domicile-travail</t>
        </is>
      </c>
      <c r="C180" s="15" t="inlineStr">
        <is>
          <t>E.32</t>
        </is>
      </c>
      <c r="D180" s="16" t="inlineStr">
        <is>
          <t>Étude faisabilité télétravail partiel (UT1)</t>
        </is>
      </c>
      <c r="E180" s="17" t="inlineStr">
        <is>
          <t>Bonne pratique</t>
        </is>
      </c>
    </row>
    <row r="181">
      <c r="A181" s="14" t="inlineStr">
        <is>
          <t>E. Risque routier</t>
        </is>
      </c>
      <c r="B181" s="14" t="inlineStr">
        <is>
          <t>Analyse AT</t>
        </is>
      </c>
      <c r="C181" s="15" t="inlineStr">
        <is>
          <t>E.33</t>
        </is>
      </c>
      <c r="D181" s="16" t="inlineStr">
        <is>
          <t>Analyse systématique des accidents et constats amiables</t>
        </is>
      </c>
      <c r="E181" s="17" t="inlineStr">
        <is>
          <t>Reco. CARSAT R.471</t>
        </is>
      </c>
    </row>
    <row r="182">
      <c r="A182" s="14" t="inlineStr">
        <is>
          <t>E. Risque routier</t>
        </is>
      </c>
      <c r="B182" s="14" t="inlineStr">
        <is>
          <t>Analyse AT</t>
        </is>
      </c>
      <c r="C182" s="15" t="inlineStr">
        <is>
          <t>E.34</t>
        </is>
      </c>
      <c r="D182" s="16" t="inlineStr">
        <is>
          <t>Arbre des causes pour chaque AT routier grave</t>
        </is>
      </c>
      <c r="E182" s="17" t="inlineStr">
        <is>
          <t>Méthode INRS</t>
        </is>
      </c>
    </row>
    <row r="183">
      <c r="A183" s="14" t="inlineStr">
        <is>
          <t>E. Risque routier</t>
        </is>
      </c>
      <c r="B183" s="14" t="inlineStr">
        <is>
          <t>Conduite d'urgence</t>
        </is>
      </c>
      <c r="C183" s="15" t="inlineStr">
        <is>
          <t>E.35</t>
        </is>
      </c>
      <c r="D183" s="16" t="inlineStr">
        <is>
          <t>Affichage conduite à tenir en cas d'accident dans chaque véhicule</t>
        </is>
      </c>
      <c r="E183" s="17" t="inlineStr">
        <is>
          <t>Bonne pratique</t>
        </is>
      </c>
    </row>
    <row r="184">
      <c r="A184" s="18" t="inlineStr">
        <is>
          <t>F. Risque chimique &amp; poussières</t>
        </is>
      </c>
      <c r="B184" s="18" t="inlineStr">
        <is>
          <t>Inventaire</t>
        </is>
      </c>
      <c r="C184" s="13" t="inlineStr">
        <is>
          <t>F.01</t>
        </is>
      </c>
      <c r="D184" s="19" t="inlineStr">
        <is>
          <t>Inventaire exhaustif des produits chimiques utilisés</t>
        </is>
      </c>
      <c r="E184" s="20" t="inlineStr">
        <is>
          <t>Art. R.4412-5</t>
        </is>
      </c>
    </row>
    <row r="185">
      <c r="A185" s="18" t="inlineStr">
        <is>
          <t>F. Risque chimique &amp; poussières</t>
        </is>
      </c>
      <c r="B185" s="18" t="inlineStr">
        <is>
          <t>Inventaire</t>
        </is>
      </c>
      <c r="C185" s="13" t="inlineStr">
        <is>
          <t>F.02</t>
        </is>
      </c>
      <c r="D185" s="19" t="inlineStr">
        <is>
          <t>Mise à jour annuelle de l'inventaire</t>
        </is>
      </c>
      <c r="E185" s="20" t="inlineStr">
        <is>
          <t>Bonne pratique</t>
        </is>
      </c>
    </row>
    <row r="186">
      <c r="A186" s="18" t="inlineStr">
        <is>
          <t>F. Risque chimique &amp; poussières</t>
        </is>
      </c>
      <c r="B186" s="18" t="inlineStr">
        <is>
          <t>FDS</t>
        </is>
      </c>
      <c r="C186" s="13" t="inlineStr">
        <is>
          <t>F.03</t>
        </is>
      </c>
      <c r="D186" s="19" t="inlineStr">
        <is>
          <t>FDS disponibles pour chaque produit (&lt; 5 ans, en français)</t>
        </is>
      </c>
      <c r="E186" s="20" t="inlineStr">
        <is>
          <t>Art. R.4412-6</t>
        </is>
      </c>
    </row>
    <row r="187">
      <c r="A187" s="18" t="inlineStr">
        <is>
          <t>F. Risque chimique &amp; poussières</t>
        </is>
      </c>
      <c r="B187" s="18" t="inlineStr">
        <is>
          <t>FDS</t>
        </is>
      </c>
      <c r="C187" s="13" t="inlineStr">
        <is>
          <t>F.04</t>
        </is>
      </c>
      <c r="D187" s="19" t="inlineStr">
        <is>
          <t>FDS transmises au médecin du travail</t>
        </is>
      </c>
      <c r="E187" s="20" t="inlineStr">
        <is>
          <t>Art. R.4624-46</t>
        </is>
      </c>
    </row>
    <row r="188">
      <c r="A188" s="18" t="inlineStr">
        <is>
          <t>F. Risque chimique &amp; poussières</t>
        </is>
      </c>
      <c r="B188" s="18" t="inlineStr">
        <is>
          <t>FDS</t>
        </is>
      </c>
      <c r="C188" s="13" t="inlineStr">
        <is>
          <t>F.05</t>
        </is>
      </c>
      <c r="D188" s="19" t="inlineStr">
        <is>
          <t>FDS accessibles aux travailleurs au poste de travail</t>
        </is>
      </c>
      <c r="E188" s="20" t="inlineStr">
        <is>
          <t>Art. R.4412-38</t>
        </is>
      </c>
    </row>
    <row r="189">
      <c r="A189" s="18" t="inlineStr">
        <is>
          <t>F. Risque chimique &amp; poussières</t>
        </is>
      </c>
      <c r="B189" s="18" t="inlineStr">
        <is>
          <t>Étiquetage</t>
        </is>
      </c>
      <c r="C189" s="13" t="inlineStr">
        <is>
          <t>F.06</t>
        </is>
      </c>
      <c r="D189" s="19" t="inlineStr">
        <is>
          <t>Étiquetage CLP conforme (pictogrammes, mentions H et P)</t>
        </is>
      </c>
      <c r="E189" s="20" t="inlineStr">
        <is>
          <t>Règl. CE 1272/2008</t>
        </is>
      </c>
    </row>
    <row r="190">
      <c r="A190" s="18" t="inlineStr">
        <is>
          <t>F. Risque chimique &amp; poussières</t>
        </is>
      </c>
      <c r="B190" s="18" t="inlineStr">
        <is>
          <t>Étiquetage</t>
        </is>
      </c>
      <c r="C190" s="13" t="inlineStr">
        <is>
          <t>F.07</t>
        </is>
      </c>
      <c r="D190" s="19" t="inlineStr">
        <is>
          <t>Étiquetage de tous les contenants secondaires (transvasement)</t>
        </is>
      </c>
      <c r="E190" s="20" t="inlineStr">
        <is>
          <t>Art. R.4412-39</t>
        </is>
      </c>
    </row>
    <row r="191">
      <c r="A191" s="18" t="inlineStr">
        <is>
          <t>F. Risque chimique &amp; poussières</t>
        </is>
      </c>
      <c r="B191" s="18" t="inlineStr">
        <is>
          <t>Étiquetage</t>
        </is>
      </c>
      <c r="C191" s="13" t="inlineStr">
        <is>
          <t>F.08</t>
        </is>
      </c>
      <c r="D191" s="19" t="inlineStr">
        <is>
          <t>Affichage des pictogrammes de danger à chaque zone à risque</t>
        </is>
      </c>
      <c r="E191" s="20" t="inlineStr">
        <is>
          <t>Bonne pratique</t>
        </is>
      </c>
    </row>
    <row r="192">
      <c r="A192" s="18" t="inlineStr">
        <is>
          <t>F. Risque chimique &amp; poussières</t>
        </is>
      </c>
      <c r="B192" s="18" t="inlineStr">
        <is>
          <t>Substitution</t>
        </is>
      </c>
      <c r="C192" s="13" t="inlineStr">
        <is>
          <t>F.09</t>
        </is>
      </c>
      <c r="D192" s="19" t="inlineStr">
        <is>
          <t>Démarche de substitution des CMR (cancérogène, mutagène, repro)</t>
        </is>
      </c>
      <c r="E192" s="20" t="inlineStr">
        <is>
          <t>Art. R.4412-66</t>
        </is>
      </c>
    </row>
    <row r="193">
      <c r="A193" s="18" t="inlineStr">
        <is>
          <t>F. Risque chimique &amp; poussières</t>
        </is>
      </c>
      <c r="B193" s="18" t="inlineStr">
        <is>
          <t>Substitution</t>
        </is>
      </c>
      <c r="C193" s="13" t="inlineStr">
        <is>
          <t>F.10</t>
        </is>
      </c>
      <c r="D193" s="19" t="inlineStr">
        <is>
          <t>Démarche de substitution des produits dangereux par produits moins dangereux</t>
        </is>
      </c>
      <c r="E193" s="20" t="inlineStr">
        <is>
          <t>Art. L.4121-2</t>
        </is>
      </c>
    </row>
    <row r="194">
      <c r="A194" s="18" t="inlineStr">
        <is>
          <t>F. Risque chimique &amp; poussières</t>
        </is>
      </c>
      <c r="B194" s="18" t="inlineStr">
        <is>
          <t>Stockage</t>
        </is>
      </c>
      <c r="C194" s="13" t="inlineStr">
        <is>
          <t>F.11</t>
        </is>
      </c>
      <c r="D194" s="19" t="inlineStr">
        <is>
          <t>Stockage en local dédié ventilé, fermé à clé</t>
        </is>
      </c>
      <c r="E194" s="20" t="inlineStr">
        <is>
          <t>Art. R.4412-17</t>
        </is>
      </c>
    </row>
    <row r="195">
      <c r="A195" s="18" t="inlineStr">
        <is>
          <t>F. Risque chimique &amp; poussières</t>
        </is>
      </c>
      <c r="B195" s="18" t="inlineStr">
        <is>
          <t>Stockage</t>
        </is>
      </c>
      <c r="C195" s="13" t="inlineStr">
        <is>
          <t>F.12</t>
        </is>
      </c>
      <c r="D195" s="19" t="inlineStr">
        <is>
          <t>Bacs de rétention (1/3 du volume stocké minimum)</t>
        </is>
      </c>
      <c r="E195" s="20" t="inlineStr">
        <is>
          <t>Art. R.4412-17</t>
        </is>
      </c>
    </row>
    <row r="196">
      <c r="A196" s="18" t="inlineStr">
        <is>
          <t>F. Risque chimique &amp; poussières</t>
        </is>
      </c>
      <c r="B196" s="18" t="inlineStr">
        <is>
          <t>Stockage</t>
        </is>
      </c>
      <c r="C196" s="13" t="inlineStr">
        <is>
          <t>F.13</t>
        </is>
      </c>
      <c r="D196" s="19" t="inlineStr">
        <is>
          <t>Séparation des produits incompatibles (inflammable / comburant / acide / base)</t>
        </is>
      </c>
      <c r="E196" s="20" t="inlineStr">
        <is>
          <t>Art. R.4412-17</t>
        </is>
      </c>
    </row>
    <row r="197">
      <c r="A197" s="18" t="inlineStr">
        <is>
          <t>F. Risque chimique &amp; poussières</t>
        </is>
      </c>
      <c r="B197" s="18" t="inlineStr">
        <is>
          <t>Stockage</t>
        </is>
      </c>
      <c r="C197" s="13" t="inlineStr">
        <is>
          <t>F.14</t>
        </is>
      </c>
      <c r="D197" s="19" t="inlineStr">
        <is>
          <t>Ventilation efficace du local de stockage</t>
        </is>
      </c>
      <c r="E197" s="20" t="inlineStr">
        <is>
          <t>Art. R.4412-17</t>
        </is>
      </c>
    </row>
    <row r="198">
      <c r="A198" s="18" t="inlineStr">
        <is>
          <t>F. Risque chimique &amp; poussières</t>
        </is>
      </c>
      <c r="B198" s="18" t="inlineStr">
        <is>
          <t>Stockage</t>
        </is>
      </c>
      <c r="C198" s="13" t="inlineStr">
        <is>
          <t>F.15</t>
        </is>
      </c>
      <c r="D198" s="19" t="inlineStr">
        <is>
          <t>Aucun stockage en hauteur de produits dangereux &gt; 1,80 m</t>
        </is>
      </c>
      <c r="E198" s="20" t="inlineStr">
        <is>
          <t>Bonne pratique</t>
        </is>
      </c>
    </row>
    <row r="199">
      <c r="A199" s="18" t="inlineStr">
        <is>
          <t>F. Risque chimique &amp; poussières</t>
        </is>
      </c>
      <c r="B199" s="18" t="inlineStr">
        <is>
          <t>Batteries SSI</t>
        </is>
      </c>
      <c r="C199" s="13" t="inlineStr">
        <is>
          <t>F.16</t>
        </is>
      </c>
      <c r="D199" s="19" t="inlineStr">
        <is>
          <t>Procédure remplacement batteries (EPI, déconnexion, bac de rétention)</t>
        </is>
      </c>
      <c r="E199" s="20" t="inlineStr">
        <is>
          <t>Bonne pratique</t>
        </is>
      </c>
    </row>
    <row r="200">
      <c r="A200" s="18" t="inlineStr">
        <is>
          <t>F. Risque chimique &amp; poussières</t>
        </is>
      </c>
      <c r="B200" s="18" t="inlineStr">
        <is>
          <t>Batteries SSI</t>
        </is>
      </c>
      <c r="C200" s="13" t="inlineStr">
        <is>
          <t>F.17</t>
        </is>
      </c>
      <c r="D200" s="19" t="inlineStr">
        <is>
          <t>Filière agréée recyclage batteries (DEEE / Screlec)</t>
        </is>
      </c>
      <c r="E200" s="20" t="inlineStr">
        <is>
          <t>Art. R.543-127</t>
        </is>
      </c>
    </row>
    <row r="201">
      <c r="A201" s="18" t="inlineStr">
        <is>
          <t>F. Risque chimique &amp; poussières</t>
        </is>
      </c>
      <c r="B201" s="18" t="inlineStr">
        <is>
          <t>Batteries SSI</t>
        </is>
      </c>
      <c r="C201" s="13" t="inlineStr">
        <is>
          <t>F.18</t>
        </is>
      </c>
      <c r="D201" s="19" t="inlineStr">
        <is>
          <t>Procédure spécifique Li-ion (stockage ignifuge, identification défauts)</t>
        </is>
      </c>
      <c r="E201" s="20" t="inlineStr">
        <is>
          <t>INRS ED 6321</t>
        </is>
      </c>
    </row>
    <row r="202">
      <c r="A202" s="18" t="inlineStr">
        <is>
          <t>F. Risque chimique &amp; poussières</t>
        </is>
      </c>
      <c r="B202" s="18" t="inlineStr">
        <is>
          <t>Batteries SSI</t>
        </is>
      </c>
      <c r="C202" s="13" t="inlineStr">
        <is>
          <t>F.19</t>
        </is>
      </c>
      <c r="D202" s="19" t="inlineStr">
        <is>
          <t>Formation aux gestes d'urgence projection acide (rinçage &gt; 15 min)</t>
        </is>
      </c>
      <c r="E202" s="20" t="inlineStr">
        <is>
          <t>Art. R.4412-23</t>
        </is>
      </c>
    </row>
    <row r="203">
      <c r="A203" s="18" t="inlineStr">
        <is>
          <t>F. Risque chimique &amp; poussières</t>
        </is>
      </c>
      <c r="B203" s="18" t="inlineStr">
        <is>
          <t>EPI chimique</t>
        </is>
      </c>
      <c r="C203" s="13" t="inlineStr">
        <is>
          <t>F.20</t>
        </is>
      </c>
      <c r="D203" s="19" t="inlineStr">
        <is>
          <t>Gants nitrile pour acide / EPDM pour solvants (NF EN 374)</t>
        </is>
      </c>
      <c r="E203" s="20" t="inlineStr">
        <is>
          <t>NF EN 374</t>
        </is>
      </c>
    </row>
    <row r="204">
      <c r="A204" s="18" t="inlineStr">
        <is>
          <t>F. Risque chimique &amp; poussières</t>
        </is>
      </c>
      <c r="B204" s="18" t="inlineStr">
        <is>
          <t>EPI chimique</t>
        </is>
      </c>
      <c r="C204" s="13" t="inlineStr">
        <is>
          <t>F.21</t>
        </is>
      </c>
      <c r="D204" s="19" t="inlineStr">
        <is>
          <t>Lunettes coques / écran facial selon produit</t>
        </is>
      </c>
      <c r="E204" s="20" t="inlineStr">
        <is>
          <t>NF EN 166</t>
        </is>
      </c>
    </row>
    <row r="205">
      <c r="A205" s="18" t="inlineStr">
        <is>
          <t>F. Risque chimique &amp; poussières</t>
        </is>
      </c>
      <c r="B205" s="18" t="inlineStr">
        <is>
          <t>EPI chimique</t>
        </is>
      </c>
      <c r="C205" s="13" t="inlineStr">
        <is>
          <t>F.22</t>
        </is>
      </c>
      <c r="D205" s="19" t="inlineStr">
        <is>
          <t>Tablier ou combinaison chimique pour grandes quantités</t>
        </is>
      </c>
      <c r="E205" s="20" t="inlineStr">
        <is>
          <t>NF EN 14605</t>
        </is>
      </c>
    </row>
    <row r="206">
      <c r="A206" s="18" t="inlineStr">
        <is>
          <t>F. Risque chimique &amp; poussières</t>
        </is>
      </c>
      <c r="B206" s="18" t="inlineStr">
        <is>
          <t>EPI chimique</t>
        </is>
      </c>
      <c r="C206" s="13" t="inlineStr">
        <is>
          <t>F.23</t>
        </is>
      </c>
      <c r="D206" s="19" t="inlineStr">
        <is>
          <t>Savons non agressifs + pommades de protection mains</t>
        </is>
      </c>
      <c r="E206" s="20" t="inlineStr">
        <is>
          <t>Bonne pratique</t>
        </is>
      </c>
    </row>
    <row r="207">
      <c r="A207" s="18" t="inlineStr">
        <is>
          <t>F. Risque chimique &amp; poussières</t>
        </is>
      </c>
      <c r="B207" s="18" t="inlineStr">
        <is>
          <t>Ventilation</t>
        </is>
      </c>
      <c r="C207" s="13" t="inlineStr">
        <is>
          <t>F.24</t>
        </is>
      </c>
      <c r="D207" s="19" t="inlineStr">
        <is>
          <t>Aération naturelle ou mécanique des zones d'utilisation</t>
        </is>
      </c>
      <c r="E207" s="20" t="inlineStr">
        <is>
          <t>Art. R.4222-1</t>
        </is>
      </c>
    </row>
    <row r="208">
      <c r="A208" s="18" t="inlineStr">
        <is>
          <t>F. Risque chimique &amp; poussières</t>
        </is>
      </c>
      <c r="B208" s="18" t="inlineStr">
        <is>
          <t>Ventilation</t>
        </is>
      </c>
      <c r="C208" s="13" t="inlineStr">
        <is>
          <t>F.25</t>
        </is>
      </c>
      <c r="D208" s="19" t="inlineStr">
        <is>
          <t>Aspiration à la source pour vapeurs / fumées / aérosols</t>
        </is>
      </c>
      <c r="E208" s="20" t="inlineStr">
        <is>
          <t>Art. R.4222-12</t>
        </is>
      </c>
    </row>
    <row r="209">
      <c r="A209" s="18" t="inlineStr">
        <is>
          <t>F. Risque chimique &amp; poussières</t>
        </is>
      </c>
      <c r="B209" s="18" t="inlineStr">
        <is>
          <t>Ventilation</t>
        </is>
      </c>
      <c r="C209" s="13" t="inlineStr">
        <is>
          <t>F.26</t>
        </is>
      </c>
      <c r="D209" s="19" t="inlineStr">
        <is>
          <t>Mesures d'empoussièrement annuelles si exposition silice ou amiante</t>
        </is>
      </c>
      <c r="E209" s="20" t="inlineStr">
        <is>
          <t>Art. R.4222-21</t>
        </is>
      </c>
    </row>
    <row r="210">
      <c r="A210" s="18" t="inlineStr">
        <is>
          <t>F. Risque chimique &amp; poussières</t>
        </is>
      </c>
      <c r="B210" s="18" t="inlineStr">
        <is>
          <t>Poussières</t>
        </is>
      </c>
      <c r="C210" s="13" t="inlineStr">
        <is>
          <t>F.27</t>
        </is>
      </c>
      <c r="D210" s="19" t="inlineStr">
        <is>
          <t>Perceuses équipées d'aspiration à la source</t>
        </is>
      </c>
      <c r="E210" s="20" t="inlineStr">
        <is>
          <t>Bonne pratique</t>
        </is>
      </c>
    </row>
    <row r="211">
      <c r="A211" s="18" t="inlineStr">
        <is>
          <t>F. Risque chimique &amp; poussières</t>
        </is>
      </c>
      <c r="B211" s="18" t="inlineStr">
        <is>
          <t>Poussières</t>
        </is>
      </c>
      <c r="C211" s="13" t="inlineStr">
        <is>
          <t>F.28</t>
        </is>
      </c>
      <c r="D211" s="19" t="inlineStr">
        <is>
          <t>Masques FFP3 pour perçages &gt; 10 min ou milieu confiné</t>
        </is>
      </c>
      <c r="E211" s="20" t="inlineStr">
        <is>
          <t>NF EN 149</t>
        </is>
      </c>
    </row>
    <row r="212">
      <c r="A212" s="18" t="inlineStr">
        <is>
          <t>F. Risque chimique &amp; poussières</t>
        </is>
      </c>
      <c r="B212" s="18" t="inlineStr">
        <is>
          <t>Poussières</t>
        </is>
      </c>
      <c r="C212" s="13" t="inlineStr">
        <is>
          <t>F.29</t>
        </is>
      </c>
      <c r="D212" s="19" t="inlineStr">
        <is>
          <t>Mouillage des matériaux quand possible (perçage humide)</t>
        </is>
      </c>
      <c r="E212" s="20" t="inlineStr">
        <is>
          <t>Bonne pratique</t>
        </is>
      </c>
    </row>
    <row r="213">
      <c r="A213" s="18" t="inlineStr">
        <is>
          <t>F. Risque chimique &amp; poussières</t>
        </is>
      </c>
      <c r="B213" s="18" t="inlineStr">
        <is>
          <t>Poussières</t>
        </is>
      </c>
      <c r="C213" s="13" t="inlineStr">
        <is>
          <t>F.30</t>
        </is>
      </c>
      <c r="D213" s="19" t="inlineStr">
        <is>
          <t>Évaluation exposition silice cristalline (VLEP 0,1 mg/m³)</t>
        </is>
      </c>
      <c r="E213" s="20" t="inlineStr">
        <is>
          <t>Décret 2021-797</t>
        </is>
      </c>
    </row>
    <row r="214">
      <c r="A214" s="18" t="inlineStr">
        <is>
          <t>F. Risque chimique &amp; poussières</t>
        </is>
      </c>
      <c r="B214" s="18" t="inlineStr">
        <is>
          <t>Premiers secours</t>
        </is>
      </c>
      <c r="C214" s="13" t="inlineStr">
        <is>
          <t>F.31</t>
        </is>
      </c>
      <c r="D214" s="19" t="inlineStr">
        <is>
          <t>Douche oculaire et corporelle à proximité des zones chimiques</t>
        </is>
      </c>
      <c r="E214" s="20" t="inlineStr">
        <is>
          <t>Art. R.4412-23</t>
        </is>
      </c>
    </row>
    <row r="215">
      <c r="A215" s="18" t="inlineStr">
        <is>
          <t>F. Risque chimique &amp; poussières</t>
        </is>
      </c>
      <c r="B215" s="18" t="inlineStr">
        <is>
          <t>Premiers secours</t>
        </is>
      </c>
      <c r="C215" s="13" t="inlineStr">
        <is>
          <t>F.32</t>
        </is>
      </c>
      <c r="D215" s="19" t="inlineStr">
        <is>
          <t>Trousse de premiers secours avec antiseptique adapté</t>
        </is>
      </c>
      <c r="E215" s="20" t="inlineStr">
        <is>
          <t>Art. R.4224-14</t>
        </is>
      </c>
    </row>
    <row r="216">
      <c r="A216" s="18" t="inlineStr">
        <is>
          <t>F. Risque chimique &amp; poussières</t>
        </is>
      </c>
      <c r="B216" s="18" t="inlineStr">
        <is>
          <t>Premiers secours</t>
        </is>
      </c>
      <c r="C216" s="13" t="inlineStr">
        <is>
          <t>F.33</t>
        </is>
      </c>
      <c r="D216" s="19" t="inlineStr">
        <is>
          <t>Procédure d'urgence chimique formalisée et affichée</t>
        </is>
      </c>
      <c r="E216" s="20" t="inlineStr">
        <is>
          <t>Art. R.4412-38</t>
        </is>
      </c>
    </row>
    <row r="217">
      <c r="A217" s="18" t="inlineStr">
        <is>
          <t>F. Risque chimique &amp; poussières</t>
        </is>
      </c>
      <c r="B217" s="18" t="inlineStr">
        <is>
          <t>Déchets</t>
        </is>
      </c>
      <c r="C217" s="13" t="inlineStr">
        <is>
          <t>F.34</t>
        </is>
      </c>
      <c r="D217" s="19" t="inlineStr">
        <is>
          <t>Filière agréée d'évacuation des déchets chimiques</t>
        </is>
      </c>
      <c r="E217" s="20" t="inlineStr">
        <is>
          <t>Art. R.541-7 CE</t>
        </is>
      </c>
    </row>
    <row r="218">
      <c r="A218" s="18" t="inlineStr">
        <is>
          <t>F. Risque chimique &amp; poussières</t>
        </is>
      </c>
      <c r="B218" s="18" t="inlineStr">
        <is>
          <t>Déchets</t>
        </is>
      </c>
      <c r="C218" s="13" t="inlineStr">
        <is>
          <t>F.35</t>
        </is>
      </c>
      <c r="D218" s="19" t="inlineStr">
        <is>
          <t>Bordereau de suivi des déchets dangereux (BSDD) conservé 5 ans</t>
        </is>
      </c>
      <c r="E218" s="20" t="inlineStr">
        <is>
          <t>Art. R.541-45</t>
        </is>
      </c>
    </row>
    <row r="219">
      <c r="A219" s="18" t="inlineStr">
        <is>
          <t>F. Risque chimique &amp; poussières</t>
        </is>
      </c>
      <c r="B219" s="18" t="inlineStr">
        <is>
          <t>Information/Formation</t>
        </is>
      </c>
      <c r="C219" s="13" t="inlineStr">
        <is>
          <t>F.36</t>
        </is>
      </c>
      <c r="D219" s="19" t="inlineStr">
        <is>
          <t>Formation au maniement des produits chimiques</t>
        </is>
      </c>
      <c r="E219" s="20" t="inlineStr">
        <is>
          <t>Art. R.4412-38</t>
        </is>
      </c>
    </row>
    <row r="220">
      <c r="A220" s="18" t="inlineStr">
        <is>
          <t>F. Risque chimique &amp; poussières</t>
        </is>
      </c>
      <c r="B220" s="18" t="inlineStr">
        <is>
          <t>Information/Formation</t>
        </is>
      </c>
      <c r="C220" s="13" t="inlineStr">
        <is>
          <t>F.37</t>
        </is>
      </c>
      <c r="D220" s="19" t="inlineStr">
        <is>
          <t>Information annuelle des risques et des mesures de protection</t>
        </is>
      </c>
      <c r="E220" s="20" t="inlineStr">
        <is>
          <t>Art. R.4412-38</t>
        </is>
      </c>
    </row>
    <row r="221">
      <c r="A221" s="18" t="inlineStr">
        <is>
          <t>F. Risque chimique &amp; poussières</t>
        </is>
      </c>
      <c r="B221" s="18" t="inlineStr">
        <is>
          <t>Information/Formation</t>
        </is>
      </c>
      <c r="C221" s="13" t="inlineStr">
        <is>
          <t>F.38</t>
        </is>
      </c>
      <c r="D221" s="19" t="inlineStr">
        <is>
          <t>Interdiction de manger / boire / fumer aux postes exposés</t>
        </is>
      </c>
      <c r="E221" s="20" t="inlineStr">
        <is>
          <t>Art. R.4412-71</t>
        </is>
      </c>
    </row>
    <row r="222">
      <c r="A222" s="14" t="inlineStr">
        <is>
          <t>G. Amiante &amp; plomb</t>
        </is>
      </c>
      <c r="B222" s="14" t="inlineStr">
        <is>
          <t>Amiante - Évaluation</t>
        </is>
      </c>
      <c r="C222" s="15" t="inlineStr">
        <is>
          <t>G.01</t>
        </is>
      </c>
      <c r="D222" s="16" t="inlineStr">
        <is>
          <t>Procédure d'exigence du DTA pour tout bâtiment &lt; 1997</t>
        </is>
      </c>
      <c r="E222" s="17" t="inlineStr">
        <is>
          <t>Art. R.4412-97</t>
        </is>
      </c>
    </row>
    <row r="223">
      <c r="A223" s="14" t="inlineStr">
        <is>
          <t>G. Amiante &amp; plomb</t>
        </is>
      </c>
      <c r="B223" s="14" t="inlineStr">
        <is>
          <t>Amiante - Évaluation</t>
        </is>
      </c>
      <c r="C223" s="15" t="inlineStr">
        <is>
          <t>G.02</t>
        </is>
      </c>
      <c r="D223" s="16" t="inlineStr">
        <is>
          <t>Refus d'intervention si DTA absent ou &gt; 3 ans</t>
        </is>
      </c>
      <c r="E223" s="17" t="inlineStr">
        <is>
          <t>Art. R.4412-97</t>
        </is>
      </c>
    </row>
    <row r="224">
      <c r="A224" s="14" t="inlineStr">
        <is>
          <t>G. Amiante &amp; plomb</t>
        </is>
      </c>
      <c r="B224" s="14" t="inlineStr">
        <is>
          <t>Amiante - Évaluation</t>
        </is>
      </c>
      <c r="C224" s="15" t="inlineStr">
        <is>
          <t>G.03</t>
        </is>
      </c>
      <c r="D224" s="16" t="inlineStr">
        <is>
          <t>Repérage avant travaux complémentaire si DTA insuffisant</t>
        </is>
      </c>
      <c r="E224" s="17" t="inlineStr">
        <is>
          <t>Art. R.4412-97</t>
        </is>
      </c>
    </row>
    <row r="225">
      <c r="A225" s="14" t="inlineStr">
        <is>
          <t>G. Amiante &amp; plomb</t>
        </is>
      </c>
      <c r="B225" s="14" t="inlineStr">
        <is>
          <t>Amiante - Formation</t>
        </is>
      </c>
      <c r="C225" s="15" t="inlineStr">
        <is>
          <t>G.04</t>
        </is>
      </c>
      <c r="D225" s="16" t="inlineStr">
        <is>
          <t>Formation SS4 initiale 5 jours (Art. R.4412-117) pour tous techniciens</t>
        </is>
      </c>
      <c r="E225" s="17" t="inlineStr">
        <is>
          <t>Arrêté 23/02/2012</t>
        </is>
      </c>
    </row>
    <row r="226">
      <c r="A226" s="14" t="inlineStr">
        <is>
          <t>G. Amiante &amp; plomb</t>
        </is>
      </c>
      <c r="B226" s="14" t="inlineStr">
        <is>
          <t>Amiante - Formation</t>
        </is>
      </c>
      <c r="C226" s="15" t="inlineStr">
        <is>
          <t>G.05</t>
        </is>
      </c>
      <c r="D226" s="16" t="inlineStr">
        <is>
          <t>Recyclage SS4 tous les 3 ans (1 jour)</t>
        </is>
      </c>
      <c r="E226" s="17" t="inlineStr">
        <is>
          <t>Arrêté 23/02/2012</t>
        </is>
      </c>
    </row>
    <row r="227">
      <c r="A227" s="14" t="inlineStr">
        <is>
          <t>G. Amiante &amp; plomb</t>
        </is>
      </c>
      <c r="B227" s="14" t="inlineStr">
        <is>
          <t>Amiante - Formation</t>
        </is>
      </c>
      <c r="C227" s="15" t="inlineStr">
        <is>
          <t>G.06</t>
        </is>
      </c>
      <c r="D227" s="16" t="inlineStr">
        <is>
          <t>Formation encadrement SS4 (5 jours) pour conducteurs travaux</t>
        </is>
      </c>
      <c r="E227" s="17" t="inlineStr">
        <is>
          <t>Arrêté 23/02/2012</t>
        </is>
      </c>
    </row>
    <row r="228">
      <c r="A228" s="14" t="inlineStr">
        <is>
          <t>G. Amiante &amp; plomb</t>
        </is>
      </c>
      <c r="B228" s="14" t="inlineStr">
        <is>
          <t>Amiante - EPI</t>
        </is>
      </c>
      <c r="C228" s="15" t="inlineStr">
        <is>
          <t>G.07</t>
        </is>
      </c>
      <c r="D228" s="16" t="inlineStr">
        <is>
          <t>Masque ventilation assistée TM3P (filtration HEPA)</t>
        </is>
      </c>
      <c r="E228" s="17" t="inlineStr">
        <is>
          <t>NF EN 12942</t>
        </is>
      </c>
    </row>
    <row r="229">
      <c r="A229" s="14" t="inlineStr">
        <is>
          <t>G. Amiante &amp; plomb</t>
        </is>
      </c>
      <c r="B229" s="14" t="inlineStr">
        <is>
          <t>Amiante - EPI</t>
        </is>
      </c>
      <c r="C229" s="15" t="inlineStr">
        <is>
          <t>G.08</t>
        </is>
      </c>
      <c r="D229" s="16" t="inlineStr">
        <is>
          <t>Combinaison type 5 jetable étanche aux particules</t>
        </is>
      </c>
      <c r="E229" s="17" t="inlineStr">
        <is>
          <t>NF EN ISO 13982-1</t>
        </is>
      </c>
    </row>
    <row r="230">
      <c r="A230" s="14" t="inlineStr">
        <is>
          <t>G. Amiante &amp; plomb</t>
        </is>
      </c>
      <c r="B230" s="14" t="inlineStr">
        <is>
          <t>Amiante - EPI</t>
        </is>
      </c>
      <c r="C230" s="15" t="inlineStr">
        <is>
          <t>G.09</t>
        </is>
      </c>
      <c r="D230" s="16" t="inlineStr">
        <is>
          <t>Gants nitrile longues manchettes + sur-bottes</t>
        </is>
      </c>
      <c r="E230" s="17" t="inlineStr">
        <is>
          <t>NF EN 374</t>
        </is>
      </c>
    </row>
    <row r="231">
      <c r="A231" s="14" t="inlineStr">
        <is>
          <t>G. Amiante &amp; plomb</t>
        </is>
      </c>
      <c r="B231" s="14" t="inlineStr">
        <is>
          <t>Amiante - EPI</t>
        </is>
      </c>
      <c r="C231" s="15" t="inlineStr">
        <is>
          <t>G.10</t>
        </is>
      </c>
      <c r="D231" s="16" t="inlineStr">
        <is>
          <t>Demi-masque FFP3 pour interventions très ponctuelles SS4</t>
        </is>
      </c>
      <c r="E231" s="17" t="inlineStr">
        <is>
          <t>NF EN 149</t>
        </is>
      </c>
    </row>
    <row r="232">
      <c r="A232" s="14" t="inlineStr">
        <is>
          <t>G. Amiante &amp; plomb</t>
        </is>
      </c>
      <c r="B232" s="14" t="inlineStr">
        <is>
          <t>Amiante - Procédures</t>
        </is>
      </c>
      <c r="C232" s="15" t="inlineStr">
        <is>
          <t>G.11</t>
        </is>
      </c>
      <c r="D232" s="16" t="inlineStr">
        <is>
          <t>Procédure de décontamination en sortie de zone (douche)</t>
        </is>
      </c>
      <c r="E232" s="17" t="inlineStr">
        <is>
          <t>Arrêté 08/04/2013</t>
        </is>
      </c>
    </row>
    <row r="233">
      <c r="A233" s="14" t="inlineStr">
        <is>
          <t>G. Amiante &amp; plomb</t>
        </is>
      </c>
      <c r="B233" s="14" t="inlineStr">
        <is>
          <t>Amiante - Procédures</t>
        </is>
      </c>
      <c r="C233" s="15" t="inlineStr">
        <is>
          <t>G.12</t>
        </is>
      </c>
      <c r="D233" s="16" t="inlineStr">
        <is>
          <t>Confinement de la zone d'intervention (sas, dépression)</t>
        </is>
      </c>
      <c r="E233" s="17" t="inlineStr">
        <is>
          <t>Arrêté 08/04/2013</t>
        </is>
      </c>
    </row>
    <row r="234">
      <c r="A234" s="14" t="inlineStr">
        <is>
          <t>G. Amiante &amp; plomb</t>
        </is>
      </c>
      <c r="B234" s="14" t="inlineStr">
        <is>
          <t>Amiante - Procédures</t>
        </is>
      </c>
      <c r="C234" s="15" t="inlineStr">
        <is>
          <t>G.13</t>
        </is>
      </c>
      <c r="D234" s="16" t="inlineStr">
        <is>
          <t>Aspiration THE (haute efficacité) à la source</t>
        </is>
      </c>
      <c r="E234" s="17" t="inlineStr">
        <is>
          <t>Arrêté 08/04/2013</t>
        </is>
      </c>
    </row>
    <row r="235">
      <c r="A235" s="14" t="inlineStr">
        <is>
          <t>G. Amiante &amp; plomb</t>
        </is>
      </c>
      <c r="B235" s="14" t="inlineStr">
        <is>
          <t>Amiante - Procédures</t>
        </is>
      </c>
      <c r="C235" s="15" t="inlineStr">
        <is>
          <t>G.14</t>
        </is>
      </c>
      <c r="D235" s="16" t="inlineStr">
        <is>
          <t>Mode opératoire SS4 documenté par chantier</t>
        </is>
      </c>
      <c r="E235" s="17" t="inlineStr">
        <is>
          <t>Art. R.4412-145</t>
        </is>
      </c>
    </row>
    <row r="236">
      <c r="A236" s="14" t="inlineStr">
        <is>
          <t>G. Amiante &amp; plomb</t>
        </is>
      </c>
      <c r="B236" s="14" t="inlineStr">
        <is>
          <t>Amiante - Procédures</t>
        </is>
      </c>
      <c r="C236" s="15" t="inlineStr">
        <is>
          <t>G.15</t>
        </is>
      </c>
      <c r="D236" s="16" t="inlineStr">
        <is>
          <t>Mesures d'empoussièrement (libératoires et de contrôle)</t>
        </is>
      </c>
      <c r="E236" s="17" t="inlineStr">
        <is>
          <t>Art. R.4412-126</t>
        </is>
      </c>
    </row>
    <row r="237">
      <c r="A237" s="14" t="inlineStr">
        <is>
          <t>G. Amiante &amp; plomb</t>
        </is>
      </c>
      <c r="B237" s="14" t="inlineStr">
        <is>
          <t>Amiante - Déchets</t>
        </is>
      </c>
      <c r="C237" s="15" t="inlineStr">
        <is>
          <t>G.16</t>
        </is>
      </c>
      <c r="D237" s="16" t="inlineStr">
        <is>
          <t>Conditionnement amiante en double emballage étiqueté</t>
        </is>
      </c>
      <c r="E237" s="17" t="inlineStr">
        <is>
          <t>Code env.</t>
        </is>
      </c>
    </row>
    <row r="238">
      <c r="A238" s="14" t="inlineStr">
        <is>
          <t>G. Amiante &amp; plomb</t>
        </is>
      </c>
      <c r="B238" s="14" t="inlineStr">
        <is>
          <t>Amiante - Déchets</t>
        </is>
      </c>
      <c r="C238" s="15" t="inlineStr">
        <is>
          <t>G.17</t>
        </is>
      </c>
      <c r="D238" s="16" t="inlineStr">
        <is>
          <t>Filière agréée d'élimination amiante (BSDA conservé 5 ans)</t>
        </is>
      </c>
      <c r="E238" s="17" t="inlineStr">
        <is>
          <t>Art. R.541-45</t>
        </is>
      </c>
    </row>
    <row r="239">
      <c r="A239" s="14" t="inlineStr">
        <is>
          <t>G. Amiante &amp; plomb</t>
        </is>
      </c>
      <c r="B239" s="14" t="inlineStr">
        <is>
          <t>Amiante - Médical</t>
        </is>
      </c>
      <c r="C239" s="15" t="inlineStr">
        <is>
          <t>G.18</t>
        </is>
      </c>
      <c r="D239" s="16" t="inlineStr">
        <is>
          <t>Suivi médical renforcé pour exposés amiante</t>
        </is>
      </c>
      <c r="E239" s="17" t="inlineStr">
        <is>
          <t>Art. R.4412-44</t>
        </is>
      </c>
    </row>
    <row r="240">
      <c r="A240" s="14" t="inlineStr">
        <is>
          <t>G. Amiante &amp; plomb</t>
        </is>
      </c>
      <c r="B240" s="14" t="inlineStr">
        <is>
          <t>Amiante - Médical</t>
        </is>
      </c>
      <c r="C240" s="15" t="inlineStr">
        <is>
          <t>G.19</t>
        </is>
      </c>
      <c r="D240" s="16" t="inlineStr">
        <is>
          <t>Fiche d'exposition amiante remise à chaque salarié exposé</t>
        </is>
      </c>
      <c r="E240" s="17" t="inlineStr">
        <is>
          <t>Art. R.4412-45</t>
        </is>
      </c>
    </row>
    <row r="241">
      <c r="A241" s="14" t="inlineStr">
        <is>
          <t>G. Amiante &amp; plomb</t>
        </is>
      </c>
      <c r="B241" s="14" t="inlineStr">
        <is>
          <t>Amiante - Médical</t>
        </is>
      </c>
      <c r="C241" s="15" t="inlineStr">
        <is>
          <t>G.20</t>
        </is>
      </c>
      <c r="D241" s="16" t="inlineStr">
        <is>
          <t>Suivi médical post-professionnel (jusqu'à 50 ans après exposition)</t>
        </is>
      </c>
      <c r="E241" s="17" t="inlineStr">
        <is>
          <t>Décret 2015-1438</t>
        </is>
      </c>
    </row>
    <row r="242">
      <c r="A242" s="14" t="inlineStr">
        <is>
          <t>G. Amiante &amp; plomb</t>
        </is>
      </c>
      <c r="B242" s="14" t="inlineStr">
        <is>
          <t>Amiante - Sous-traitance</t>
        </is>
      </c>
      <c r="C242" s="15" t="inlineStr">
        <is>
          <t>G.21</t>
        </is>
      </c>
      <c r="D242" s="16" t="inlineStr">
        <is>
          <t>Sous-traitants amiante : certification SS3 vérifiée</t>
        </is>
      </c>
      <c r="E242" s="17" t="inlineStr">
        <is>
          <t>Art. R.4412-129</t>
        </is>
      </c>
    </row>
    <row r="243">
      <c r="A243" s="14" t="inlineStr">
        <is>
          <t>G. Amiante &amp; plomb</t>
        </is>
      </c>
      <c r="B243" s="14" t="inlineStr">
        <is>
          <t>Amiante - Sous-traitance</t>
        </is>
      </c>
      <c r="C243" s="15" t="inlineStr">
        <is>
          <t>G.22</t>
        </is>
      </c>
      <c r="D243" s="16" t="inlineStr">
        <is>
          <t>Si découverte fortuite : arrêt chantier + plan retrait par certifié SS3</t>
        </is>
      </c>
      <c r="E243" s="17" t="inlineStr">
        <is>
          <t>Art. R.4412-138</t>
        </is>
      </c>
    </row>
    <row r="244">
      <c r="A244" s="14" t="inlineStr">
        <is>
          <t>G. Amiante &amp; plomb</t>
        </is>
      </c>
      <c r="B244" s="14" t="inlineStr">
        <is>
          <t>Plomb - Évaluation</t>
        </is>
      </c>
      <c r="C244" s="15" t="inlineStr">
        <is>
          <t>G.23</t>
        </is>
      </c>
      <c r="D244" s="16" t="inlineStr">
        <is>
          <t>CREP exigé pour bâtiments habitation antérieurs à 1949</t>
        </is>
      </c>
      <c r="E244" s="17" t="inlineStr">
        <is>
          <t>Art. R.4412-149</t>
        </is>
      </c>
    </row>
    <row r="245">
      <c r="A245" s="14" t="inlineStr">
        <is>
          <t>G. Amiante &amp; plomb</t>
        </is>
      </c>
      <c r="B245" s="14" t="inlineStr">
        <is>
          <t>Plomb - EPI</t>
        </is>
      </c>
      <c r="C245" s="15" t="inlineStr">
        <is>
          <t>G.24</t>
        </is>
      </c>
      <c r="D245" s="16" t="inlineStr">
        <is>
          <t>Masque FFP3 pour interventions en présence de peintures plombées</t>
        </is>
      </c>
      <c r="E245" s="17" t="inlineStr">
        <is>
          <t>NF EN 149</t>
        </is>
      </c>
    </row>
    <row r="246">
      <c r="A246" s="14" t="inlineStr">
        <is>
          <t>G. Amiante &amp; plomb</t>
        </is>
      </c>
      <c r="B246" s="14" t="inlineStr">
        <is>
          <t>Plomb - Médical</t>
        </is>
      </c>
      <c r="C246" s="15" t="inlineStr">
        <is>
          <t>G.25</t>
        </is>
      </c>
      <c r="D246" s="16" t="inlineStr">
        <is>
          <t>Plombémie systématique pour exposés</t>
        </is>
      </c>
      <c r="E246" s="17" t="inlineStr">
        <is>
          <t>Art. R.4412-160</t>
        </is>
      </c>
    </row>
    <row r="247">
      <c r="A247" s="14" t="inlineStr">
        <is>
          <t>G. Amiante &amp; plomb</t>
        </is>
      </c>
      <c r="B247" s="14" t="inlineStr">
        <is>
          <t>Plomb - VLEP</t>
        </is>
      </c>
      <c r="C247" s="15" t="inlineStr">
        <is>
          <t>G.26</t>
        </is>
      </c>
      <c r="D247" s="16" t="inlineStr">
        <is>
          <t>VLEP 0,1 mg/m³ respectée</t>
        </is>
      </c>
      <c r="E247" s="17" t="inlineStr">
        <is>
          <t>Art. R.4412-152</t>
        </is>
      </c>
    </row>
    <row r="248">
      <c r="A248" s="14" t="inlineStr">
        <is>
          <t>G. Amiante &amp; plomb</t>
        </is>
      </c>
      <c r="B248" s="14" t="inlineStr">
        <is>
          <t>FCR (fibres céramiques réfractaires)</t>
        </is>
      </c>
      <c r="C248" s="15" t="inlineStr">
        <is>
          <t>G.27</t>
        </is>
      </c>
      <c r="D248" s="16" t="inlineStr">
        <is>
          <t>Identification dans isolants haute température</t>
        </is>
      </c>
      <c r="E248" s="17" t="inlineStr">
        <is>
          <t>Art. R.4412-66</t>
        </is>
      </c>
    </row>
    <row r="249">
      <c r="A249" s="14" t="inlineStr">
        <is>
          <t>G. Amiante &amp; plomb</t>
        </is>
      </c>
      <c r="B249" s="14" t="inlineStr">
        <is>
          <t>FCR (fibres céramiques réfractaires)</t>
        </is>
      </c>
      <c r="C249" s="15" t="inlineStr">
        <is>
          <t>G.28</t>
        </is>
      </c>
      <c r="D249" s="16" t="inlineStr">
        <is>
          <t>Procédure spécifique CMR si exposition</t>
        </is>
      </c>
      <c r="E249" s="17" t="inlineStr">
        <is>
          <t>Art. R.4412-71</t>
        </is>
      </c>
    </row>
    <row r="250">
      <c r="A250" s="14" t="inlineStr">
        <is>
          <t>G. Amiante &amp; plomb</t>
        </is>
      </c>
      <c r="B250" s="14" t="inlineStr">
        <is>
          <t>Plomb - Substitution</t>
        </is>
      </c>
      <c r="C250" s="15" t="inlineStr">
        <is>
          <t>G.29</t>
        </is>
      </c>
      <c r="D250" s="16" t="inlineStr">
        <is>
          <t>Démarche de substitution si possible</t>
        </is>
      </c>
      <c r="E250" s="17" t="inlineStr">
        <is>
          <t>Art. R.4412-66</t>
        </is>
      </c>
    </row>
    <row r="251">
      <c r="A251" s="14" t="inlineStr">
        <is>
          <t>G. Amiante &amp; plomb</t>
        </is>
      </c>
      <c r="B251" s="14" t="inlineStr">
        <is>
          <t>Plomb - Information</t>
        </is>
      </c>
      <c r="C251" s="15" t="inlineStr">
        <is>
          <t>G.30</t>
        </is>
      </c>
      <c r="D251" s="16" t="inlineStr">
        <is>
          <t>Information annuelle des salariés sur les risques plomb</t>
        </is>
      </c>
      <c r="E251" s="17" t="inlineStr">
        <is>
          <t>Art. R.4412-38</t>
        </is>
      </c>
    </row>
    <row r="252">
      <c r="A252" s="18" t="inlineStr">
        <is>
          <t>H. Co-activité &amp; plan de prévention</t>
        </is>
      </c>
      <c r="B252" s="18" t="inlineStr">
        <is>
          <t>Évaluation</t>
        </is>
      </c>
      <c r="C252" s="13" t="inlineStr">
        <is>
          <t>H.01</t>
        </is>
      </c>
      <c r="D252" s="19" t="inlineStr">
        <is>
          <t>Identification systématique des seuils de plan de prévention (400 h / 12 mois)</t>
        </is>
      </c>
      <c r="E252" s="20" t="inlineStr">
        <is>
          <t>Art. R.4512-7</t>
        </is>
      </c>
    </row>
    <row r="253">
      <c r="A253" s="18" t="inlineStr">
        <is>
          <t>H. Co-activité &amp; plan de prévention</t>
        </is>
      </c>
      <c r="B253" s="18" t="inlineStr">
        <is>
          <t>Évaluation</t>
        </is>
      </c>
      <c r="C253" s="13" t="inlineStr">
        <is>
          <t>H.02</t>
        </is>
      </c>
      <c r="D253" s="19" t="inlineStr">
        <is>
          <t>Identification des travaux dangereux (arrêté 19/03/1993)</t>
        </is>
      </c>
      <c r="E253" s="20" t="inlineStr">
        <is>
          <t>Arrêté 19/03/1993</t>
        </is>
      </c>
    </row>
    <row r="254">
      <c r="A254" s="18" t="inlineStr">
        <is>
          <t>H. Co-activité &amp; plan de prévention</t>
        </is>
      </c>
      <c r="B254" s="18" t="inlineStr">
        <is>
          <t>Inspection commune</t>
        </is>
      </c>
      <c r="C254" s="13" t="inlineStr">
        <is>
          <t>H.03</t>
        </is>
      </c>
      <c r="D254" s="19" t="inlineStr">
        <is>
          <t>Inspection commune préalable systématique avant intervention chez client</t>
        </is>
      </c>
      <c r="E254" s="20" t="inlineStr">
        <is>
          <t>Art. R.4512-6</t>
        </is>
      </c>
    </row>
    <row r="255">
      <c r="A255" s="18" t="inlineStr">
        <is>
          <t>H. Co-activité &amp; plan de prévention</t>
        </is>
      </c>
      <c r="B255" s="18" t="inlineStr">
        <is>
          <t>Inspection commune</t>
        </is>
      </c>
      <c r="C255" s="13" t="inlineStr">
        <is>
          <t>H.04</t>
        </is>
      </c>
      <c r="D255" s="19" t="inlineStr">
        <is>
          <t>Compte rendu d'inspection commune signé par les deux parties</t>
        </is>
      </c>
      <c r="E255" s="20" t="inlineStr">
        <is>
          <t>Art. R.4512-12</t>
        </is>
      </c>
    </row>
    <row r="256">
      <c r="A256" s="18" t="inlineStr">
        <is>
          <t>H. Co-activité &amp; plan de prévention</t>
        </is>
      </c>
      <c r="B256" s="18" t="inlineStr">
        <is>
          <t>Plan prévention</t>
        </is>
      </c>
      <c r="C256" s="13" t="inlineStr">
        <is>
          <t>H.05</t>
        </is>
      </c>
      <c r="D256" s="19" t="inlineStr">
        <is>
          <t>Modèle de plan de prévention IM2S → client formalisé</t>
        </is>
      </c>
      <c r="E256" s="20" t="inlineStr">
        <is>
          <t>Art. R.4512-7</t>
        </is>
      </c>
    </row>
    <row r="257">
      <c r="A257" s="18" t="inlineStr">
        <is>
          <t>H. Co-activité &amp; plan de prévention</t>
        </is>
      </c>
      <c r="B257" s="18" t="inlineStr">
        <is>
          <t>Plan prévention</t>
        </is>
      </c>
      <c r="C257" s="13" t="inlineStr">
        <is>
          <t>H.06</t>
        </is>
      </c>
      <c r="D257" s="19" t="inlineStr">
        <is>
          <t>Signature plan de prévention avant démarrage des travaux</t>
        </is>
      </c>
      <c r="E257" s="20" t="inlineStr">
        <is>
          <t>Art. R.4512-7</t>
        </is>
      </c>
    </row>
    <row r="258">
      <c r="A258" s="18" t="inlineStr">
        <is>
          <t>H. Co-activité &amp; plan de prévention</t>
        </is>
      </c>
      <c r="B258" s="18" t="inlineStr">
        <is>
          <t>Plan prévention</t>
        </is>
      </c>
      <c r="C258" s="13" t="inlineStr">
        <is>
          <t>H.07</t>
        </is>
      </c>
      <c r="D258" s="19" t="inlineStr">
        <is>
          <t>Registre des plans de prévention signés tenu à jour</t>
        </is>
      </c>
      <c r="E258" s="20" t="inlineStr">
        <is>
          <t>Art. R.4512-13</t>
        </is>
      </c>
    </row>
    <row r="259">
      <c r="A259" s="18" t="inlineStr">
        <is>
          <t>H. Co-activité &amp; plan de prévention</t>
        </is>
      </c>
      <c r="B259" s="18" t="inlineStr">
        <is>
          <t>Plan prévention</t>
        </is>
      </c>
      <c r="C259" s="13" t="inlineStr">
        <is>
          <t>H.08</t>
        </is>
      </c>
      <c r="D259" s="19" t="inlineStr">
        <is>
          <t>Diffusion du plan de prévention aux salariés concernés</t>
        </is>
      </c>
      <c r="E259" s="20" t="inlineStr">
        <is>
          <t>Art. R.4512-15</t>
        </is>
      </c>
    </row>
    <row r="260">
      <c r="A260" s="18" t="inlineStr">
        <is>
          <t>H. Co-activité &amp; plan de prévention</t>
        </is>
      </c>
      <c r="B260" s="18" t="inlineStr">
        <is>
          <t>Plan prévention</t>
        </is>
      </c>
      <c r="C260" s="13" t="inlineStr">
        <is>
          <t>H.09</t>
        </is>
      </c>
      <c r="D260" s="19" t="inlineStr">
        <is>
          <t>Mise à jour si modification des conditions d'intervention</t>
        </is>
      </c>
      <c r="E260" s="20" t="inlineStr">
        <is>
          <t>Art. R.4512-7</t>
        </is>
      </c>
    </row>
    <row r="261">
      <c r="A261" s="18" t="inlineStr">
        <is>
          <t>H. Co-activité &amp; plan de prévention</t>
        </is>
      </c>
      <c r="B261" s="18" t="inlineStr">
        <is>
          <t>PPSPS</t>
        </is>
      </c>
      <c r="C261" s="13" t="inlineStr">
        <is>
          <t>H.10</t>
        </is>
      </c>
      <c r="D261" s="19" t="inlineStr">
        <is>
          <t>PPSPS rédigé pour chantiers de catégorie 1 ou 2</t>
        </is>
      </c>
      <c r="E261" s="20" t="inlineStr">
        <is>
          <t>Art. L.4532-9</t>
        </is>
      </c>
    </row>
    <row r="262">
      <c r="A262" s="18" t="inlineStr">
        <is>
          <t>H. Co-activité &amp; plan de prévention</t>
        </is>
      </c>
      <c r="B262" s="18" t="inlineStr">
        <is>
          <t>PPSPS</t>
        </is>
      </c>
      <c r="C262" s="13" t="inlineStr">
        <is>
          <t>H.11</t>
        </is>
      </c>
      <c r="D262" s="19" t="inlineStr">
        <is>
          <t>Coordination SPS niveau 1 / 2 / 3 selon classification chantier</t>
        </is>
      </c>
      <c r="E262" s="20" t="inlineStr">
        <is>
          <t>Art. R.4532-2</t>
        </is>
      </c>
    </row>
    <row r="263">
      <c r="A263" s="18" t="inlineStr">
        <is>
          <t>H. Co-activité &amp; plan de prévention</t>
        </is>
      </c>
      <c r="B263" s="18" t="inlineStr">
        <is>
          <t>PPSPS</t>
        </is>
      </c>
      <c r="C263" s="13" t="inlineStr">
        <is>
          <t>H.12</t>
        </is>
      </c>
      <c r="D263" s="19" t="inlineStr">
        <is>
          <t>Participation au PGCSPS du coordonnateur SPS</t>
        </is>
      </c>
      <c r="E263" s="20" t="inlineStr">
        <is>
          <t>Art. L.4532-8</t>
        </is>
      </c>
    </row>
    <row r="264">
      <c r="A264" s="18" t="inlineStr">
        <is>
          <t>H. Co-activité &amp; plan de prévention</t>
        </is>
      </c>
      <c r="B264" s="18" t="inlineStr">
        <is>
          <t>PPSPS</t>
        </is>
      </c>
      <c r="C264" s="13" t="inlineStr">
        <is>
          <t>H.13</t>
        </is>
      </c>
      <c r="D264" s="19" t="inlineStr">
        <is>
          <t>Mesures spécifiques pour interventions simultanées (organisation des phases)</t>
        </is>
      </c>
      <c r="E264" s="20" t="inlineStr">
        <is>
          <t>Art. R.4532-65</t>
        </is>
      </c>
    </row>
    <row r="265">
      <c r="A265" s="18" t="inlineStr">
        <is>
          <t>H. Co-activité &amp; plan de prévention</t>
        </is>
      </c>
      <c r="B265" s="18" t="inlineStr">
        <is>
          <t>Carte BTP</t>
        </is>
      </c>
      <c r="C265" s="13" t="inlineStr">
        <is>
          <t>H.14</t>
        </is>
      </c>
      <c r="D265" s="19" t="inlineStr">
        <is>
          <t>Tous salariés intervenant chantier BTP munis carte CIBTP</t>
        </is>
      </c>
      <c r="E265" s="20" t="inlineStr">
        <is>
          <t>Art. R.8291-1</t>
        </is>
      </c>
    </row>
    <row r="266">
      <c r="A266" s="18" t="inlineStr">
        <is>
          <t>H. Co-activité &amp; plan de prévention</t>
        </is>
      </c>
      <c r="B266" s="18" t="inlineStr">
        <is>
          <t>Carte BTP</t>
        </is>
      </c>
      <c r="C266" s="13" t="inlineStr">
        <is>
          <t>H.15</t>
        </is>
      </c>
      <c r="D266" s="19" t="inlineStr">
        <is>
          <t>Carte BTP renouvelée à chaque embauche</t>
        </is>
      </c>
      <c r="E266" s="20" t="inlineStr">
        <is>
          <t>Art. R.8291-1</t>
        </is>
      </c>
    </row>
    <row r="267">
      <c r="A267" s="18" t="inlineStr">
        <is>
          <t>H. Co-activité &amp; plan de prévention</t>
        </is>
      </c>
      <c r="B267" s="18" t="inlineStr">
        <is>
          <t>Carte BTP</t>
        </is>
      </c>
      <c r="C267" s="13" t="inlineStr">
        <is>
          <t>H.16</t>
        </is>
      </c>
      <c r="D267" s="19" t="inlineStr">
        <is>
          <t>Présentation à tout contrôle (Inspection, URSSAF, OPPBTP, MOA)</t>
        </is>
      </c>
      <c r="E267" s="20" t="inlineStr">
        <is>
          <t>Art. R.8291-1</t>
        </is>
      </c>
    </row>
    <row r="268">
      <c r="A268" s="18" t="inlineStr">
        <is>
          <t>H. Co-activité &amp; plan de prévention</t>
        </is>
      </c>
      <c r="B268" s="18" t="inlineStr">
        <is>
          <t>ERP en exploitation</t>
        </is>
      </c>
      <c r="C268" s="13" t="inlineStr">
        <is>
          <t>H.17</t>
        </is>
      </c>
      <c r="D268" s="19" t="inlineStr">
        <is>
          <t>Coordination avec responsable d'exploitation client</t>
        </is>
      </c>
      <c r="E268" s="20" t="inlineStr">
        <is>
          <t>Règl. sécurité ERP</t>
        </is>
      </c>
    </row>
    <row r="269">
      <c r="A269" s="18" t="inlineStr">
        <is>
          <t>H. Co-activité &amp; plan de prévention</t>
        </is>
      </c>
      <c r="B269" s="18" t="inlineStr">
        <is>
          <t>ERP en exploitation</t>
        </is>
      </c>
      <c r="C269" s="13" t="inlineStr">
        <is>
          <t>H.18</t>
        </is>
      </c>
      <c r="D269" s="19" t="inlineStr">
        <is>
          <t>Mise hors service partielle SSI en accord avec exploitant</t>
        </is>
      </c>
      <c r="E269" s="20" t="inlineStr">
        <is>
          <t>Règl. sécurité ERP</t>
        </is>
      </c>
    </row>
    <row r="270">
      <c r="A270" s="18" t="inlineStr">
        <is>
          <t>H. Co-activité &amp; plan de prévention</t>
        </is>
      </c>
      <c r="B270" s="18" t="inlineStr">
        <is>
          <t>ERP en exploitation</t>
        </is>
      </c>
      <c r="C270" s="13" t="inlineStr">
        <is>
          <t>H.19</t>
        </is>
      </c>
      <c r="D270" s="19" t="inlineStr">
        <is>
          <t>Affichage nature et durée intervention à proximité</t>
        </is>
      </c>
      <c r="E270" s="20" t="inlineStr">
        <is>
          <t>Bonne pratique</t>
        </is>
      </c>
    </row>
    <row r="271">
      <c r="A271" s="18" t="inlineStr">
        <is>
          <t>H. Co-activité &amp; plan de prévention</t>
        </is>
      </c>
      <c r="B271" s="18" t="inlineStr">
        <is>
          <t>ERP en exploitation</t>
        </is>
      </c>
      <c r="C271" s="13" t="inlineStr">
        <is>
          <t>H.20</t>
        </is>
      </c>
      <c r="D271" s="19" t="inlineStr">
        <is>
          <t>Maintien des dégagements et issues de secours</t>
        </is>
      </c>
      <c r="E271" s="20" t="inlineStr">
        <is>
          <t>Règl. sécurité ERP</t>
        </is>
      </c>
    </row>
    <row r="272">
      <c r="A272" s="18" t="inlineStr">
        <is>
          <t>H. Co-activité &amp; plan de prévention</t>
        </is>
      </c>
      <c r="B272" s="18" t="inlineStr">
        <is>
          <t>ERP en exploitation</t>
        </is>
      </c>
      <c r="C272" s="13" t="inlineStr">
        <is>
          <t>H.21</t>
        </is>
      </c>
      <c r="D272" s="19" t="inlineStr">
        <is>
          <t>Communication aux occupants en cas de test évacuation</t>
        </is>
      </c>
      <c r="E272" s="20" t="inlineStr">
        <is>
          <t>Bonne pratique</t>
        </is>
      </c>
    </row>
    <row r="273">
      <c r="A273" s="18" t="inlineStr">
        <is>
          <t>H. Co-activité &amp; plan de prévention</t>
        </is>
      </c>
      <c r="B273" s="18" t="inlineStr">
        <is>
          <t>Sous-traitants</t>
        </is>
      </c>
      <c r="C273" s="13" t="inlineStr">
        <is>
          <t>H.22</t>
        </is>
      </c>
      <c r="D273" s="19" t="inlineStr">
        <is>
          <t>Sous-traitants déclarés (Art. L.8222-1 — solidarité financière)</t>
        </is>
      </c>
      <c r="E273" s="20" t="inlineStr">
        <is>
          <t>Art. L.8222-1</t>
        </is>
      </c>
    </row>
    <row r="274">
      <c r="A274" s="18" t="inlineStr">
        <is>
          <t>H. Co-activité &amp; plan de prévention</t>
        </is>
      </c>
      <c r="B274" s="18" t="inlineStr">
        <is>
          <t>Sous-traitants</t>
        </is>
      </c>
      <c r="C274" s="13" t="inlineStr">
        <is>
          <t>H.23</t>
        </is>
      </c>
      <c r="D274" s="19" t="inlineStr">
        <is>
          <t>Vérification cartes BTP des sous-traitants</t>
        </is>
      </c>
      <c r="E274" s="20" t="inlineStr">
        <is>
          <t>Art. R.8291-1</t>
        </is>
      </c>
    </row>
    <row r="275">
      <c r="A275" s="18" t="inlineStr">
        <is>
          <t>H. Co-activité &amp; plan de prévention</t>
        </is>
      </c>
      <c r="B275" s="18" t="inlineStr">
        <is>
          <t>Sous-traitants</t>
        </is>
      </c>
      <c r="C275" s="13" t="inlineStr">
        <is>
          <t>H.24</t>
        </is>
      </c>
      <c r="D275" s="19" t="inlineStr">
        <is>
          <t>Attestations sociales et fiscales sous-traitants à jour</t>
        </is>
      </c>
      <c r="E275" s="20" t="inlineStr">
        <is>
          <t>Art. D.8222-5</t>
        </is>
      </c>
    </row>
    <row r="276">
      <c r="A276" s="18" t="inlineStr">
        <is>
          <t>H. Co-activité &amp; plan de prévention</t>
        </is>
      </c>
      <c r="B276" s="18" t="inlineStr">
        <is>
          <t>Sous-traitants</t>
        </is>
      </c>
      <c r="C276" s="13" t="inlineStr">
        <is>
          <t>H.25</t>
        </is>
      </c>
      <c r="D276" s="19" t="inlineStr">
        <is>
          <t>Habilitations électriques sous-traitants vérifiées</t>
        </is>
      </c>
      <c r="E276" s="20" t="inlineStr">
        <is>
          <t>NF C 18-510</t>
        </is>
      </c>
    </row>
    <row r="277">
      <c r="A277" s="18" t="inlineStr">
        <is>
          <t>H. Co-activité &amp; plan de prévention</t>
        </is>
      </c>
      <c r="B277" s="18" t="inlineStr">
        <is>
          <t>Sous-traitants</t>
        </is>
      </c>
      <c r="C277" s="13" t="inlineStr">
        <is>
          <t>H.26</t>
        </is>
      </c>
      <c r="D277" s="19" t="inlineStr">
        <is>
          <t>Plan de prévention IM2S ↔ sous-traitant signé</t>
        </is>
      </c>
      <c r="E277" s="20" t="inlineStr">
        <is>
          <t>Art. R.4512-7</t>
        </is>
      </c>
    </row>
    <row r="278">
      <c r="A278" s="18" t="inlineStr">
        <is>
          <t>H. Co-activité &amp; plan de prévention</t>
        </is>
      </c>
      <c r="B278" s="18" t="inlineStr">
        <is>
          <t>Co-activité travaux</t>
        </is>
      </c>
      <c r="C278" s="13" t="inlineStr">
        <is>
          <t>H.27</t>
        </is>
      </c>
      <c r="D278" s="19" t="inlineStr">
        <is>
          <t>Balisage zones intervention (rubalise, panneaux)</t>
        </is>
      </c>
      <c r="E278" s="20" t="inlineStr">
        <is>
          <t>Bonne pratique</t>
        </is>
      </c>
    </row>
    <row r="279">
      <c r="A279" s="18" t="inlineStr">
        <is>
          <t>H. Co-activité &amp; plan de prévention</t>
        </is>
      </c>
      <c r="B279" s="18" t="inlineStr">
        <is>
          <t>Co-activité travaux</t>
        </is>
      </c>
      <c r="C279" s="13" t="inlineStr">
        <is>
          <t>H.28</t>
        </is>
      </c>
      <c r="D279" s="19" t="inlineStr">
        <is>
          <t>Restitution état initial après travaux (nettoyage, retrait protections)</t>
        </is>
      </c>
      <c r="E279" s="20" t="inlineStr">
        <is>
          <t>Bonne pratique</t>
        </is>
      </c>
    </row>
    <row r="280">
      <c r="A280" s="18" t="inlineStr">
        <is>
          <t>H. Co-activité &amp; plan de prévention</t>
        </is>
      </c>
      <c r="B280" s="18" t="inlineStr">
        <is>
          <t>Information mutuelle</t>
        </is>
      </c>
      <c r="C280" s="13" t="inlineStr">
        <is>
          <t>H.29</t>
        </is>
      </c>
      <c r="D280" s="19" t="inlineStr">
        <is>
          <t>IM2S informe client des risques importés par son intervention</t>
        </is>
      </c>
      <c r="E280" s="20" t="inlineStr">
        <is>
          <t>Art. R.4511-6</t>
        </is>
      </c>
    </row>
    <row r="281">
      <c r="A281" s="18" t="inlineStr">
        <is>
          <t>H. Co-activité &amp; plan de prévention</t>
        </is>
      </c>
      <c r="B281" s="18" t="inlineStr">
        <is>
          <t>Information mutuelle</t>
        </is>
      </c>
      <c r="C281" s="13" t="inlineStr">
        <is>
          <t>H.30</t>
        </is>
      </c>
      <c r="D281" s="19" t="inlineStr">
        <is>
          <t>Client informe IM2S des risques propres du site</t>
        </is>
      </c>
      <c r="E281" s="20" t="inlineStr">
        <is>
          <t>Art. R.4511-6</t>
        </is>
      </c>
    </row>
    <row r="282">
      <c r="A282" s="14" t="inlineStr">
        <is>
          <t>I. RPS, organisation, charge mentale</t>
        </is>
      </c>
      <c r="B282" s="14" t="inlineStr">
        <is>
          <t>Évaluation RPS</t>
        </is>
      </c>
      <c r="C282" s="15" t="inlineStr">
        <is>
          <t>I.01</t>
        </is>
      </c>
      <c r="D282" s="16" t="inlineStr">
        <is>
          <t>RPS évalués dans le DUERP (obligation depuis ANI 2008 + accord 2013)</t>
        </is>
      </c>
      <c r="E282" s="17" t="inlineStr">
        <is>
          <t>ANI 02/07/2008</t>
        </is>
      </c>
    </row>
    <row r="283">
      <c r="A283" s="14" t="inlineStr">
        <is>
          <t>I. RPS, organisation, charge mentale</t>
        </is>
      </c>
      <c r="B283" s="14" t="inlineStr">
        <is>
          <t>Évaluation RPS</t>
        </is>
      </c>
      <c r="C283" s="15" t="inlineStr">
        <is>
          <t>I.02</t>
        </is>
      </c>
      <c r="D283" s="16" t="inlineStr">
        <is>
          <t>Outil d'évaluation RPS (questionnaire, entretien, observation)</t>
        </is>
      </c>
      <c r="E283" s="17" t="inlineStr">
        <is>
          <t>Bonne pratique</t>
        </is>
      </c>
    </row>
    <row r="284">
      <c r="A284" s="14" t="inlineStr">
        <is>
          <t>I. RPS, organisation, charge mentale</t>
        </is>
      </c>
      <c r="B284" s="14" t="inlineStr">
        <is>
          <t>Évaluation RPS</t>
        </is>
      </c>
      <c r="C284" s="15" t="inlineStr">
        <is>
          <t>I.03</t>
        </is>
      </c>
      <c r="D284" s="16" t="inlineStr">
        <is>
          <t>Identification des 6 catégories de facteurs (intensité, exigences, conflits valeurs, etc.)</t>
        </is>
      </c>
      <c r="E284" s="17" t="inlineStr">
        <is>
          <t>INRS</t>
        </is>
      </c>
    </row>
    <row r="285">
      <c r="A285" s="14" t="inlineStr">
        <is>
          <t>I. RPS, organisation, charge mentale</t>
        </is>
      </c>
      <c r="B285" s="14" t="inlineStr">
        <is>
          <t>Charge de travail</t>
        </is>
      </c>
      <c r="C285" s="15" t="inlineStr">
        <is>
          <t>I.04</t>
        </is>
      </c>
      <c r="D285" s="16" t="inlineStr">
        <is>
          <t>Évaluation des effectifs en fonction de la charge</t>
        </is>
      </c>
      <c r="E285" s="17" t="inlineStr">
        <is>
          <t>Art. L.4121-2</t>
        </is>
      </c>
    </row>
    <row r="286">
      <c r="A286" s="14" t="inlineStr">
        <is>
          <t>I. RPS, organisation, charge mentale</t>
        </is>
      </c>
      <c r="B286" s="14" t="inlineStr">
        <is>
          <t>Charge de travail</t>
        </is>
      </c>
      <c r="C286" s="15" t="inlineStr">
        <is>
          <t>I.05</t>
        </is>
      </c>
      <c r="D286" s="16" t="inlineStr">
        <is>
          <t>Entretien individuel annuel sur charge de travail</t>
        </is>
      </c>
      <c r="E286" s="17" t="inlineStr">
        <is>
          <t>Art. L.6315-1</t>
        </is>
      </c>
    </row>
    <row r="287">
      <c r="A287" s="14" t="inlineStr">
        <is>
          <t>I. RPS, organisation, charge mentale</t>
        </is>
      </c>
      <c r="B287" s="14" t="inlineStr">
        <is>
          <t>Charge de travail</t>
        </is>
      </c>
      <c r="C287" s="15" t="inlineStr">
        <is>
          <t>I.06</t>
        </is>
      </c>
      <c r="D287" s="16" t="inlineStr">
        <is>
          <t>Mécanisme d'alerte en cas de surcharge ponctuelle</t>
        </is>
      </c>
      <c r="E287" s="17" t="inlineStr">
        <is>
          <t>Bonne pratique</t>
        </is>
      </c>
    </row>
    <row r="288">
      <c r="A288" s="14" t="inlineStr">
        <is>
          <t>I. RPS, organisation, charge mentale</t>
        </is>
      </c>
      <c r="B288" s="14" t="inlineStr">
        <is>
          <t>Astreintes</t>
        </is>
      </c>
      <c r="C288" s="15" t="inlineStr">
        <is>
          <t>I.07</t>
        </is>
      </c>
      <c r="D288" s="16" t="inlineStr">
        <is>
          <t>Cadre des astreintes formalisé (rotation, contrepartie, indemnités)</t>
        </is>
      </c>
      <c r="E288" s="17" t="inlineStr">
        <is>
          <t>Art. L.3121-9</t>
        </is>
      </c>
    </row>
    <row r="289">
      <c r="A289" s="14" t="inlineStr">
        <is>
          <t>I. RPS, organisation, charge mentale</t>
        </is>
      </c>
      <c r="B289" s="14" t="inlineStr">
        <is>
          <t>Astreintes</t>
        </is>
      </c>
      <c r="C289" s="15" t="inlineStr">
        <is>
          <t>I.08</t>
        </is>
      </c>
      <c r="D289" s="16" t="inlineStr">
        <is>
          <t>Tableau de rotation des astreintes équitable</t>
        </is>
      </c>
      <c r="E289" s="17" t="inlineStr">
        <is>
          <t>Bonne pratique</t>
        </is>
      </c>
    </row>
    <row r="290">
      <c r="A290" s="14" t="inlineStr">
        <is>
          <t>I. RPS, organisation, charge mentale</t>
        </is>
      </c>
      <c r="B290" s="14" t="inlineStr">
        <is>
          <t>Astreintes</t>
        </is>
      </c>
      <c r="C290" s="15" t="inlineStr">
        <is>
          <t>I.09</t>
        </is>
      </c>
      <c r="D290" s="16" t="inlineStr">
        <is>
          <t>Temps de repos respecté entre astreintes (11h consécutives min.)</t>
        </is>
      </c>
      <c r="E290" s="17" t="inlineStr">
        <is>
          <t>Art. L.3131-1</t>
        </is>
      </c>
    </row>
    <row r="291">
      <c r="A291" s="14" t="inlineStr">
        <is>
          <t>I. RPS, organisation, charge mentale</t>
        </is>
      </c>
      <c r="B291" s="14" t="inlineStr">
        <is>
          <t>Droit déconnexion</t>
        </is>
      </c>
      <c r="C291" s="15" t="inlineStr">
        <is>
          <t>I.10</t>
        </is>
      </c>
      <c r="D291" s="16" t="inlineStr">
        <is>
          <t>Plages de déconnexion définies (loi El Khomri 2016)</t>
        </is>
      </c>
      <c r="E291" s="17" t="inlineStr">
        <is>
          <t>Art. L.2242-17</t>
        </is>
      </c>
    </row>
    <row r="292">
      <c r="A292" s="14" t="inlineStr">
        <is>
          <t>I. RPS, organisation, charge mentale</t>
        </is>
      </c>
      <c r="B292" s="14" t="inlineStr">
        <is>
          <t>Droit déconnexion</t>
        </is>
      </c>
      <c r="C292" s="15" t="inlineStr">
        <is>
          <t>I.11</t>
        </is>
      </c>
      <c r="D292" s="16" t="inlineStr">
        <is>
          <t>Charte ou note interne sur usage des outils numériques hors temps de travail</t>
        </is>
      </c>
      <c r="E292" s="17" t="inlineStr">
        <is>
          <t>Bonne pratique</t>
        </is>
      </c>
    </row>
    <row r="293">
      <c r="A293" s="14" t="inlineStr">
        <is>
          <t>I. RPS, organisation, charge mentale</t>
        </is>
      </c>
      <c r="B293" s="14" t="inlineStr">
        <is>
          <t>Travail isolé</t>
        </is>
      </c>
      <c r="C293" s="15" t="inlineStr">
        <is>
          <t>I.12</t>
        </is>
      </c>
      <c r="D293" s="16" t="inlineStr">
        <is>
          <t>Identification des situations de travail isolé (techniciens, chantiers nuit)</t>
        </is>
      </c>
      <c r="E293" s="17" t="inlineStr">
        <is>
          <t>Art. R.4543-19</t>
        </is>
      </c>
    </row>
    <row r="294">
      <c r="A294" s="14" t="inlineStr">
        <is>
          <t>I. RPS, organisation, charge mentale</t>
        </is>
      </c>
      <c r="B294" s="14" t="inlineStr">
        <is>
          <t>Travail isolé</t>
        </is>
      </c>
      <c r="C294" s="15" t="inlineStr">
        <is>
          <t>I.13</t>
        </is>
      </c>
      <c r="D294" s="16" t="inlineStr">
        <is>
          <t>DATI (dispositif d'alarme travailleur isolé) si exposition prolongée</t>
        </is>
      </c>
      <c r="E294" s="17" t="inlineStr">
        <is>
          <t>INRS ED 985</t>
        </is>
      </c>
    </row>
    <row r="295">
      <c r="A295" s="14" t="inlineStr">
        <is>
          <t>I. RPS, organisation, charge mentale</t>
        </is>
      </c>
      <c r="B295" s="14" t="inlineStr">
        <is>
          <t>Travail isolé</t>
        </is>
      </c>
      <c r="C295" s="15" t="inlineStr">
        <is>
          <t>I.14</t>
        </is>
      </c>
      <c r="D295" s="16" t="inlineStr">
        <is>
          <t>Procédure de point téléphonique régulier (début / fin mission)</t>
        </is>
      </c>
      <c r="E295" s="17" t="inlineStr">
        <is>
          <t>Bonne pratique</t>
        </is>
      </c>
    </row>
    <row r="296">
      <c r="A296" s="14" t="inlineStr">
        <is>
          <t>I. RPS, organisation, charge mentale</t>
        </is>
      </c>
      <c r="B296" s="14" t="inlineStr">
        <is>
          <t>Travail isolé</t>
        </is>
      </c>
      <c r="C296" s="15" t="inlineStr">
        <is>
          <t>I.15</t>
        </is>
      </c>
      <c r="D296" s="16" t="inlineStr">
        <is>
          <t>Identification des sites à risque renforcé (sous-sols sans réseau)</t>
        </is>
      </c>
      <c r="E296" s="17" t="inlineStr">
        <is>
          <t>Bonne pratique</t>
        </is>
      </c>
    </row>
    <row r="297">
      <c r="A297" s="14" t="inlineStr">
        <is>
          <t>I. RPS, organisation, charge mentale</t>
        </is>
      </c>
      <c r="B297" s="14" t="inlineStr">
        <is>
          <t>Harcèlement</t>
        </is>
      </c>
      <c r="C297" s="15" t="inlineStr">
        <is>
          <t>I.16</t>
        </is>
      </c>
      <c r="D297" s="16" t="inlineStr">
        <is>
          <t>Référent harcèlement désigné (loi 05/09/2018, à partir 11 salariés)</t>
        </is>
      </c>
      <c r="E297" s="17" t="inlineStr">
        <is>
          <t>Art. L.1153-5-1</t>
        </is>
      </c>
    </row>
    <row r="298">
      <c r="A298" s="14" t="inlineStr">
        <is>
          <t>I. RPS, organisation, charge mentale</t>
        </is>
      </c>
      <c r="B298" s="14" t="inlineStr">
        <is>
          <t>Harcèlement</t>
        </is>
      </c>
      <c r="C298" s="15" t="inlineStr">
        <is>
          <t>I.17</t>
        </is>
      </c>
      <c r="D298" s="16" t="inlineStr">
        <is>
          <t>Référent harcèlement du CSE désigné si CSE</t>
        </is>
      </c>
      <c r="E298" s="17" t="inlineStr">
        <is>
          <t>Art. L.2314-1</t>
        </is>
      </c>
    </row>
    <row r="299">
      <c r="A299" s="14" t="inlineStr">
        <is>
          <t>I. RPS, organisation, charge mentale</t>
        </is>
      </c>
      <c r="B299" s="14" t="inlineStr">
        <is>
          <t>Harcèlement</t>
        </is>
      </c>
      <c r="C299" s="15" t="inlineStr">
        <is>
          <t>I.18</t>
        </is>
      </c>
      <c r="D299" s="16" t="inlineStr">
        <is>
          <t>Affichage des coordonnées référent harcèlement</t>
        </is>
      </c>
      <c r="E299" s="17" t="inlineStr">
        <is>
          <t>Art. D.1151-1</t>
        </is>
      </c>
    </row>
    <row r="300">
      <c r="A300" s="14" t="inlineStr">
        <is>
          <t>I. RPS, organisation, charge mentale</t>
        </is>
      </c>
      <c r="B300" s="14" t="inlineStr">
        <is>
          <t>Harcèlement</t>
        </is>
      </c>
      <c r="C300" s="15" t="inlineStr">
        <is>
          <t>I.19</t>
        </is>
      </c>
      <c r="D300" s="16" t="inlineStr">
        <is>
          <t>Procédure de signalement et de traitement des situations</t>
        </is>
      </c>
      <c r="E300" s="17" t="inlineStr">
        <is>
          <t>Art. L.1153-5</t>
        </is>
      </c>
    </row>
    <row r="301">
      <c r="A301" s="14" t="inlineStr">
        <is>
          <t>I. RPS, organisation, charge mentale</t>
        </is>
      </c>
      <c r="B301" s="14" t="inlineStr">
        <is>
          <t>Harcèlement</t>
        </is>
      </c>
      <c r="C301" s="15" t="inlineStr">
        <is>
          <t>I.20</t>
        </is>
      </c>
      <c r="D301" s="16" t="inlineStr">
        <is>
          <t>Information annuelle des salariés sur le harcèlement</t>
        </is>
      </c>
      <c r="E301" s="17" t="inlineStr">
        <is>
          <t>Art. L.1153-5</t>
        </is>
      </c>
    </row>
    <row r="302">
      <c r="A302" s="14" t="inlineStr">
        <is>
          <t>I. RPS, organisation, charge mentale</t>
        </is>
      </c>
      <c r="B302" s="14" t="inlineStr">
        <is>
          <t>Violence</t>
        </is>
      </c>
      <c r="C302" s="15" t="inlineStr">
        <is>
          <t>I.21</t>
        </is>
      </c>
      <c r="D302" s="16" t="inlineStr">
        <is>
          <t>Règlement intérieur interdit toute violence (verbale, physique)</t>
        </is>
      </c>
      <c r="E302" s="17" t="inlineStr">
        <is>
          <t>Art. L.1321-2</t>
        </is>
      </c>
    </row>
    <row r="303">
      <c r="A303" s="14" t="inlineStr">
        <is>
          <t>I. RPS, organisation, charge mentale</t>
        </is>
      </c>
      <c r="B303" s="14" t="inlineStr">
        <is>
          <t>Violence</t>
        </is>
      </c>
      <c r="C303" s="15" t="inlineStr">
        <is>
          <t>I.22</t>
        </is>
      </c>
      <c r="D303" s="16" t="inlineStr">
        <is>
          <t>Procédure de signalement des incidents</t>
        </is>
      </c>
      <c r="E303" s="17" t="inlineStr">
        <is>
          <t>Bonne pratique</t>
        </is>
      </c>
    </row>
    <row r="304">
      <c r="A304" s="14" t="inlineStr">
        <is>
          <t>I. RPS, organisation, charge mentale</t>
        </is>
      </c>
      <c r="B304" s="14" t="inlineStr">
        <is>
          <t>Encadrement</t>
        </is>
      </c>
      <c r="C304" s="15" t="inlineStr">
        <is>
          <t>I.23</t>
        </is>
      </c>
      <c r="D304" s="16" t="inlineStr">
        <is>
          <t>Formation encadrement à la détection des RPS</t>
        </is>
      </c>
      <c r="E304" s="17" t="inlineStr">
        <is>
          <t>Bonne pratique</t>
        </is>
      </c>
    </row>
    <row r="305">
      <c r="A305" s="14" t="inlineStr">
        <is>
          <t>I. RPS, organisation, charge mentale</t>
        </is>
      </c>
      <c r="B305" s="14" t="inlineStr">
        <is>
          <t>Encadrement</t>
        </is>
      </c>
      <c r="C305" s="15" t="inlineStr">
        <is>
          <t>I.24</t>
        </is>
      </c>
      <c r="D305" s="16" t="inlineStr">
        <is>
          <t>Soutien hiérarchique (présence, écoute, proximité)</t>
        </is>
      </c>
      <c r="E305" s="17" t="inlineStr">
        <is>
          <t>Bonne pratique</t>
        </is>
      </c>
    </row>
    <row r="306">
      <c r="A306" s="14" t="inlineStr">
        <is>
          <t>I. RPS, organisation, charge mentale</t>
        </is>
      </c>
      <c r="B306" s="14" t="inlineStr">
        <is>
          <t>Encadrement</t>
        </is>
      </c>
      <c r="C306" s="15" t="inlineStr">
        <is>
          <t>I.25</t>
        </is>
      </c>
      <c r="D306" s="16" t="inlineStr">
        <is>
          <t>Reconnaissance régulière du travail (entretiens, retours)</t>
        </is>
      </c>
      <c r="E306" s="17" t="inlineStr">
        <is>
          <t>INRS</t>
        </is>
      </c>
    </row>
    <row r="307">
      <c r="A307" s="14" t="inlineStr">
        <is>
          <t>I. RPS, organisation, charge mentale</t>
        </is>
      </c>
      <c r="B307" s="14" t="inlineStr">
        <is>
          <t>Soutien</t>
        </is>
      </c>
      <c r="C307" s="15" t="inlineStr">
        <is>
          <t>I.26</t>
        </is>
      </c>
      <c r="D307" s="16" t="inlineStr">
        <is>
          <t>Cahier de doléances ou boîte à idées (confirmé chez IM2S)</t>
        </is>
      </c>
      <c r="E307" s="17" t="inlineStr">
        <is>
          <t>Bonne pratique</t>
        </is>
      </c>
    </row>
    <row r="308">
      <c r="A308" s="14" t="inlineStr">
        <is>
          <t>I. RPS, organisation, charge mentale</t>
        </is>
      </c>
      <c r="B308" s="14" t="inlineStr">
        <is>
          <t>Soutien</t>
        </is>
      </c>
      <c r="C308" s="15" t="inlineStr">
        <is>
          <t>I.27</t>
        </is>
      </c>
      <c r="D308" s="16" t="inlineStr">
        <is>
          <t>Causeries sécurité (confirmées chez IM2S)</t>
        </is>
      </c>
      <c r="E308" s="17" t="inlineStr">
        <is>
          <t>Bonne pratique</t>
        </is>
      </c>
    </row>
    <row r="309">
      <c r="A309" s="14" t="inlineStr">
        <is>
          <t>I. RPS, organisation, charge mentale</t>
        </is>
      </c>
      <c r="B309" s="14" t="inlineStr">
        <is>
          <t>Soutien</t>
        </is>
      </c>
      <c r="C309" s="15" t="inlineStr">
        <is>
          <t>I.28</t>
        </is>
      </c>
      <c r="D309" s="16" t="inlineStr">
        <is>
          <t>Podcast interne (atout IM2S — IM2S Morning)</t>
        </is>
      </c>
      <c r="E309" s="17" t="inlineStr">
        <is>
          <t>Spécifique IM2S</t>
        </is>
      </c>
    </row>
    <row r="310">
      <c r="A310" s="14" t="inlineStr">
        <is>
          <t>I. RPS, organisation, charge mentale</t>
        </is>
      </c>
      <c r="B310" s="14" t="inlineStr">
        <is>
          <t>Soutien</t>
        </is>
      </c>
      <c r="C310" s="15" t="inlineStr">
        <is>
          <t>I.29</t>
        </is>
      </c>
      <c r="D310" s="16" t="inlineStr">
        <is>
          <t>Convivialité, événements d'équipe (cohésion)</t>
        </is>
      </c>
      <c r="E310" s="17" t="inlineStr">
        <is>
          <t>Bonne pratique</t>
        </is>
      </c>
    </row>
    <row r="311">
      <c r="A311" s="14" t="inlineStr">
        <is>
          <t>I. RPS, organisation, charge mentale</t>
        </is>
      </c>
      <c r="B311" s="14" t="inlineStr">
        <is>
          <t>Conciliation</t>
        </is>
      </c>
      <c r="C311" s="15" t="inlineStr">
        <is>
          <t>I.30</t>
        </is>
      </c>
      <c r="D311" s="16" t="inlineStr">
        <is>
          <t>Horaires permettant conciliation vie pro / vie perso</t>
        </is>
      </c>
      <c r="E311" s="17" t="inlineStr">
        <is>
          <t>Art. L.2242-17</t>
        </is>
      </c>
    </row>
    <row r="312">
      <c r="A312" s="14" t="inlineStr">
        <is>
          <t>I. RPS, organisation, charge mentale</t>
        </is>
      </c>
      <c r="B312" s="14" t="inlineStr">
        <is>
          <t>Conciliation</t>
        </is>
      </c>
      <c r="C312" s="15" t="inlineStr">
        <is>
          <t>I.31</t>
        </is>
      </c>
      <c r="D312" s="16" t="inlineStr">
        <is>
          <t>Télétravail partiel étudié si compatible (UT1 admin)</t>
        </is>
      </c>
      <c r="E312" s="17" t="inlineStr">
        <is>
          <t>Art. L.1222-9</t>
        </is>
      </c>
    </row>
    <row r="313">
      <c r="A313" s="14" t="inlineStr">
        <is>
          <t>I. RPS, organisation, charge mentale</t>
        </is>
      </c>
      <c r="B313" s="14" t="inlineStr">
        <is>
          <t>Médical</t>
        </is>
      </c>
      <c r="C313" s="15" t="inlineStr">
        <is>
          <t>I.32</t>
        </is>
      </c>
      <c r="D313" s="16" t="inlineStr">
        <is>
          <t>Médecin du travail consulté sur stress et RPS</t>
        </is>
      </c>
      <c r="E313" s="17" t="inlineStr">
        <is>
          <t>Art. R.4624-1</t>
        </is>
      </c>
    </row>
    <row r="314">
      <c r="A314" s="14" t="inlineStr">
        <is>
          <t>I. RPS, organisation, charge mentale</t>
        </is>
      </c>
      <c r="B314" s="14" t="inlineStr">
        <is>
          <t>Médical</t>
        </is>
      </c>
      <c r="C314" s="15" t="inlineStr">
        <is>
          <t>I.33</t>
        </is>
      </c>
      <c r="D314" s="16" t="inlineStr">
        <is>
          <t>Examen médical d'embauche et de suivi périodique</t>
        </is>
      </c>
      <c r="E314" s="17" t="inlineStr">
        <is>
          <t>Art. R.4624-10</t>
        </is>
      </c>
    </row>
    <row r="315">
      <c r="A315" s="14" t="inlineStr">
        <is>
          <t>I. RPS, organisation, charge mentale</t>
        </is>
      </c>
      <c r="B315" s="14" t="inlineStr">
        <is>
          <t>Absentéisme</t>
        </is>
      </c>
      <c r="C315" s="15" t="inlineStr">
        <is>
          <t>I.34</t>
        </is>
      </c>
      <c r="D315" s="16" t="inlineStr">
        <is>
          <t>Analyse des causes d'absentéisme (taux, durée, motif)</t>
        </is>
      </c>
      <c r="E315" s="17" t="inlineStr">
        <is>
          <t>Bonne pratique</t>
        </is>
      </c>
    </row>
    <row r="316">
      <c r="A316" s="14" t="inlineStr">
        <is>
          <t>I. RPS, organisation, charge mentale</t>
        </is>
      </c>
      <c r="B316" s="14" t="inlineStr">
        <is>
          <t>Absentéisme</t>
        </is>
      </c>
      <c r="C316" s="15" t="inlineStr">
        <is>
          <t>I.35</t>
        </is>
      </c>
      <c r="D316" s="16" t="inlineStr">
        <is>
          <t>Surveillance médicale renforcée si absentéisme &gt; moyenne</t>
        </is>
      </c>
      <c r="E316" s="17" t="inlineStr">
        <is>
          <t>Bonne pratique</t>
        </is>
      </c>
    </row>
    <row r="317">
      <c r="A317" s="14" t="inlineStr">
        <is>
          <t>I. RPS, organisation, charge mentale</t>
        </is>
      </c>
      <c r="B317" s="14" t="inlineStr">
        <is>
          <t>Addictions</t>
        </is>
      </c>
      <c r="C317" s="15" t="inlineStr">
        <is>
          <t>I.36</t>
        </is>
      </c>
      <c r="D317" s="16" t="inlineStr">
        <is>
          <t>Politique de prévention addictions (alcool, drogues, médicaments)</t>
        </is>
      </c>
      <c r="E317" s="17" t="inlineStr">
        <is>
          <t>INRS ED 6147</t>
        </is>
      </c>
    </row>
    <row r="318">
      <c r="A318" s="14" t="inlineStr">
        <is>
          <t>I. RPS, organisation, charge mentale</t>
        </is>
      </c>
      <c r="B318" s="14" t="inlineStr">
        <is>
          <t>Addictions</t>
        </is>
      </c>
      <c r="C318" s="15" t="inlineStr">
        <is>
          <t>I.37</t>
        </is>
      </c>
      <c r="D318" s="16" t="inlineStr">
        <is>
          <t>Information et formation encadrement sur addictions</t>
        </is>
      </c>
      <c r="E318" s="17" t="inlineStr">
        <is>
          <t>INRS ED 6147</t>
        </is>
      </c>
    </row>
    <row r="319">
      <c r="A319" s="18" t="inlineStr">
        <is>
          <t>J. Bruit, vibrations, ambiances physiques</t>
        </is>
      </c>
      <c r="B319" s="18" t="inlineStr">
        <is>
          <t>Bruit - Évaluation</t>
        </is>
      </c>
      <c r="C319" s="13" t="inlineStr">
        <is>
          <t>J.01</t>
        </is>
      </c>
      <c r="D319" s="19" t="inlineStr">
        <is>
          <t>Mesures de bruit aux postes / activités à risque</t>
        </is>
      </c>
      <c r="E319" s="20" t="inlineStr">
        <is>
          <t>Art. R.4433-1</t>
        </is>
      </c>
    </row>
    <row r="320">
      <c r="A320" s="18" t="inlineStr">
        <is>
          <t>J. Bruit, vibrations, ambiances physiques</t>
        </is>
      </c>
      <c r="B320" s="18" t="inlineStr">
        <is>
          <t>Bruit - Évaluation</t>
        </is>
      </c>
      <c r="C320" s="13" t="inlineStr">
        <is>
          <t>J.02</t>
        </is>
      </c>
      <c r="D320" s="19" t="inlineStr">
        <is>
          <t>Cartographie sonore documentée (date, méthode, postes)</t>
        </is>
      </c>
      <c r="E320" s="20" t="inlineStr">
        <is>
          <t>Art. R.4433-7</t>
        </is>
      </c>
    </row>
    <row r="321">
      <c r="A321" s="18" t="inlineStr">
        <is>
          <t>J. Bruit, vibrations, ambiances physiques</t>
        </is>
      </c>
      <c r="B321" s="18" t="inlineStr">
        <is>
          <t>Bruit - Évaluation</t>
        </is>
      </c>
      <c r="C321" s="13" t="inlineStr">
        <is>
          <t>J.03</t>
        </is>
      </c>
      <c r="D321" s="19" t="inlineStr">
        <is>
          <t>Renouvellement mesures tous les 3 ans</t>
        </is>
      </c>
      <c r="E321" s="20" t="inlineStr">
        <is>
          <t>Art. R.4433-7</t>
        </is>
      </c>
    </row>
    <row r="322">
      <c r="A322" s="18" t="inlineStr">
        <is>
          <t>J. Bruit, vibrations, ambiances physiques</t>
        </is>
      </c>
      <c r="B322" s="18" t="inlineStr">
        <is>
          <t>Bruit - VLEP</t>
        </is>
      </c>
      <c r="C322" s="13" t="inlineStr">
        <is>
          <t>J.04</t>
        </is>
      </c>
      <c r="D322" s="19" t="inlineStr">
        <is>
          <t>VLEP exposition 8h = 87 dB(A) respectée</t>
        </is>
      </c>
      <c r="E322" s="20" t="inlineStr">
        <is>
          <t>Art. R.4431-2</t>
        </is>
      </c>
    </row>
    <row r="323">
      <c r="A323" s="18" t="inlineStr">
        <is>
          <t>J. Bruit, vibrations, ambiances physiques</t>
        </is>
      </c>
      <c r="B323" s="18" t="inlineStr">
        <is>
          <t>Bruit - VLEP</t>
        </is>
      </c>
      <c r="C323" s="13" t="inlineStr">
        <is>
          <t>J.05</t>
        </is>
      </c>
      <c r="D323" s="19" t="inlineStr">
        <is>
          <t>Valeur d'action 85 dB(A) — protections obligatoires</t>
        </is>
      </c>
      <c r="E323" s="20" t="inlineStr">
        <is>
          <t>Art. R.4434-7</t>
        </is>
      </c>
    </row>
    <row r="324">
      <c r="A324" s="18" t="inlineStr">
        <is>
          <t>J. Bruit, vibrations, ambiances physiques</t>
        </is>
      </c>
      <c r="B324" s="18" t="inlineStr">
        <is>
          <t>Bruit - VLEP</t>
        </is>
      </c>
      <c r="C324" s="13" t="inlineStr">
        <is>
          <t>J.06</t>
        </is>
      </c>
      <c r="D324" s="19" t="inlineStr">
        <is>
          <t>Valeur d'action 80 dB(A) — protections à disposition</t>
        </is>
      </c>
      <c r="E324" s="20" t="inlineStr">
        <is>
          <t>Art. R.4434-7</t>
        </is>
      </c>
    </row>
    <row r="325">
      <c r="A325" s="18" t="inlineStr">
        <is>
          <t>J. Bruit, vibrations, ambiances physiques</t>
        </is>
      </c>
      <c r="B325" s="18" t="inlineStr">
        <is>
          <t>Bruit - VLEP</t>
        </is>
      </c>
      <c r="C325" s="13" t="inlineStr">
        <is>
          <t>J.07</t>
        </is>
      </c>
      <c r="D325" s="19" t="inlineStr">
        <is>
          <t>Pression acoustique de crête 140 dB(C) respectée</t>
        </is>
      </c>
      <c r="E325" s="20" t="inlineStr">
        <is>
          <t>Art. R.4431-2</t>
        </is>
      </c>
    </row>
    <row r="326">
      <c r="A326" s="18" t="inlineStr">
        <is>
          <t>J. Bruit, vibrations, ambiances physiques</t>
        </is>
      </c>
      <c r="B326" s="18" t="inlineStr">
        <is>
          <t>Bruit - EPI</t>
        </is>
      </c>
      <c r="C326" s="13" t="inlineStr">
        <is>
          <t>J.08</t>
        </is>
      </c>
      <c r="D326" s="19" t="inlineStr">
        <is>
          <t>Bouchons d'oreilles à usage unique disponibles aux postes</t>
        </is>
      </c>
      <c r="E326" s="20" t="inlineStr">
        <is>
          <t>NF EN 352-2</t>
        </is>
      </c>
    </row>
    <row r="327">
      <c r="A327" s="18" t="inlineStr">
        <is>
          <t>J. Bruit, vibrations, ambiances physiques</t>
        </is>
      </c>
      <c r="B327" s="18" t="inlineStr">
        <is>
          <t>Bruit - EPI</t>
        </is>
      </c>
      <c r="C327" s="13" t="inlineStr">
        <is>
          <t>J.09</t>
        </is>
      </c>
      <c r="D327" s="19" t="inlineStr">
        <is>
          <t>Casques antibruit pour expositions prolongées</t>
        </is>
      </c>
      <c r="E327" s="20" t="inlineStr">
        <is>
          <t>NF EN 352-1</t>
        </is>
      </c>
    </row>
    <row r="328">
      <c r="A328" s="18" t="inlineStr">
        <is>
          <t>J. Bruit, vibrations, ambiances physiques</t>
        </is>
      </c>
      <c r="B328" s="18" t="inlineStr">
        <is>
          <t>Bruit - EPI</t>
        </is>
      </c>
      <c r="C328" s="13" t="inlineStr">
        <is>
          <t>J.10</t>
        </is>
      </c>
      <c r="D328" s="19" t="inlineStr">
        <is>
          <t>Bouchons moulés pour salariés exposés régulièrement</t>
        </is>
      </c>
      <c r="E328" s="20" t="inlineStr">
        <is>
          <t>NF EN 352-2</t>
        </is>
      </c>
    </row>
    <row r="329">
      <c r="A329" s="18" t="inlineStr">
        <is>
          <t>J. Bruit, vibrations, ambiances physiques</t>
        </is>
      </c>
      <c r="B329" s="18" t="inlineStr">
        <is>
          <t>Bruit - EPI</t>
        </is>
      </c>
      <c r="C329" s="13" t="inlineStr">
        <is>
          <t>J.11</t>
        </is>
      </c>
      <c r="D329" s="19" t="inlineStr">
        <is>
          <t>Affichage 'port des protections auditives obligatoires' aux postes &gt; 85 dB(A)</t>
        </is>
      </c>
      <c r="E329" s="20" t="inlineStr">
        <is>
          <t>Art. R.4434-3</t>
        </is>
      </c>
    </row>
    <row r="330">
      <c r="A330" s="18" t="inlineStr">
        <is>
          <t>J. Bruit, vibrations, ambiances physiques</t>
        </is>
      </c>
      <c r="B330" s="18" t="inlineStr">
        <is>
          <t>Bruit - Formation</t>
        </is>
      </c>
      <c r="C330" s="13" t="inlineStr">
        <is>
          <t>J.12</t>
        </is>
      </c>
      <c r="D330" s="19" t="inlineStr">
        <is>
          <t>Information et formation des travailleurs exposés</t>
        </is>
      </c>
      <c r="E330" s="20" t="inlineStr">
        <is>
          <t>Art. R.4436-1</t>
        </is>
      </c>
    </row>
    <row r="331">
      <c r="A331" s="18" t="inlineStr">
        <is>
          <t>J. Bruit, vibrations, ambiances physiques</t>
        </is>
      </c>
      <c r="B331" s="18" t="inlineStr">
        <is>
          <t>Bruit - Médical</t>
        </is>
      </c>
      <c r="C331" s="13" t="inlineStr">
        <is>
          <t>J.13</t>
        </is>
      </c>
      <c r="D331" s="19" t="inlineStr">
        <is>
          <t>Audiogramme à l'embauche et suivi triennal</t>
        </is>
      </c>
      <c r="E331" s="20" t="inlineStr">
        <is>
          <t>Art. R.4435-2</t>
        </is>
      </c>
    </row>
    <row r="332">
      <c r="A332" s="18" t="inlineStr">
        <is>
          <t>J. Bruit, vibrations, ambiances physiques</t>
        </is>
      </c>
      <c r="B332" s="18" t="inlineStr">
        <is>
          <t>Bruit - Réduction source</t>
        </is>
      </c>
      <c r="C332" s="13" t="inlineStr">
        <is>
          <t>J.14</t>
        </is>
      </c>
      <c r="D332" s="19" t="inlineStr">
        <is>
          <t>Achat outils à faible niveau sonore (étiquetage fournisseur)</t>
        </is>
      </c>
      <c r="E332" s="20" t="inlineStr">
        <is>
          <t>Art. R.4432-1</t>
        </is>
      </c>
    </row>
    <row r="333">
      <c r="A333" s="18" t="inlineStr">
        <is>
          <t>J. Bruit, vibrations, ambiances physiques</t>
        </is>
      </c>
      <c r="B333" s="18" t="inlineStr">
        <is>
          <t>Bruit - Réduction source</t>
        </is>
      </c>
      <c r="C333" s="13" t="inlineStr">
        <is>
          <t>J.15</t>
        </is>
      </c>
      <c r="D333" s="19" t="inlineStr">
        <is>
          <t>Isolation acoustique des locaux générateurs de bruit</t>
        </is>
      </c>
      <c r="E333" s="20" t="inlineStr">
        <is>
          <t>Art. R.4432-1</t>
        </is>
      </c>
    </row>
    <row r="334">
      <c r="A334" s="18" t="inlineStr">
        <is>
          <t>J. Bruit, vibrations, ambiances physiques</t>
        </is>
      </c>
      <c r="B334" s="18" t="inlineStr">
        <is>
          <t>Vibrations main-bras - Évaluation</t>
        </is>
      </c>
      <c r="C334" s="13" t="inlineStr">
        <is>
          <t>J.16</t>
        </is>
      </c>
      <c r="D334" s="19" t="inlineStr">
        <is>
          <t>Évaluation exposition vibrations main-bras</t>
        </is>
      </c>
      <c r="E334" s="20" t="inlineStr">
        <is>
          <t>Art. R.4444-2</t>
        </is>
      </c>
    </row>
    <row r="335">
      <c r="A335" s="18" t="inlineStr">
        <is>
          <t>J. Bruit, vibrations, ambiances physiques</t>
        </is>
      </c>
      <c r="B335" s="18" t="inlineStr">
        <is>
          <t>Vibrations main-bras - Évaluation</t>
        </is>
      </c>
      <c r="C335" s="13" t="inlineStr">
        <is>
          <t>J.17</t>
        </is>
      </c>
      <c r="D335" s="19" t="inlineStr">
        <is>
          <t>Cartographie des outils vibrants par poste</t>
        </is>
      </c>
      <c r="E335" s="20" t="inlineStr">
        <is>
          <t>Art. R.4444-2</t>
        </is>
      </c>
    </row>
    <row r="336">
      <c r="A336" s="18" t="inlineStr">
        <is>
          <t>J. Bruit, vibrations, ambiances physiques</t>
        </is>
      </c>
      <c r="B336" s="18" t="inlineStr">
        <is>
          <t>Vibrations main-bras - VLEP</t>
        </is>
      </c>
      <c r="C336" s="13" t="inlineStr">
        <is>
          <t>J.18</t>
        </is>
      </c>
      <c r="D336" s="19" t="inlineStr">
        <is>
          <t>VLEP A(8) = 5 m/s² respectée</t>
        </is>
      </c>
      <c r="E336" s="20" t="inlineStr">
        <is>
          <t>Art. R.4443-1</t>
        </is>
      </c>
    </row>
    <row r="337">
      <c r="A337" s="18" t="inlineStr">
        <is>
          <t>J. Bruit, vibrations, ambiances physiques</t>
        </is>
      </c>
      <c r="B337" s="18" t="inlineStr">
        <is>
          <t>Vibrations main-bras - VLEP</t>
        </is>
      </c>
      <c r="C337" s="13" t="inlineStr">
        <is>
          <t>J.19</t>
        </is>
      </c>
      <c r="D337" s="19" t="inlineStr">
        <is>
          <t>Valeur d'action 2,5 m/s² — mesures de prévention</t>
        </is>
      </c>
      <c r="E337" s="20" t="inlineStr">
        <is>
          <t>Art. R.4445-1</t>
        </is>
      </c>
    </row>
    <row r="338">
      <c r="A338" s="18" t="inlineStr">
        <is>
          <t>J. Bruit, vibrations, ambiances physiques</t>
        </is>
      </c>
      <c r="B338" s="18" t="inlineStr">
        <is>
          <t>Vibrations main-bras - Outils</t>
        </is>
      </c>
      <c r="C338" s="13" t="inlineStr">
        <is>
          <t>J.20</t>
        </is>
      </c>
      <c r="D338" s="19" t="inlineStr">
        <is>
          <t>Outils certifiés à faible niveau de vibration</t>
        </is>
      </c>
      <c r="E338" s="20" t="inlineStr">
        <is>
          <t>Art. R.4445-1</t>
        </is>
      </c>
    </row>
    <row r="339">
      <c r="A339" s="18" t="inlineStr">
        <is>
          <t>J. Bruit, vibrations, ambiances physiques</t>
        </is>
      </c>
      <c r="B339" s="18" t="inlineStr">
        <is>
          <t>Vibrations main-bras - Outils</t>
        </is>
      </c>
      <c r="C339" s="13" t="inlineStr">
        <is>
          <t>J.21</t>
        </is>
      </c>
      <c r="D339" s="19" t="inlineStr">
        <is>
          <t>Gants antivibratiles si exposition régulière</t>
        </is>
      </c>
      <c r="E339" s="20" t="inlineStr">
        <is>
          <t>NF EN ISO 10819</t>
        </is>
      </c>
    </row>
    <row r="340">
      <c r="A340" s="18" t="inlineStr">
        <is>
          <t>J. Bruit, vibrations, ambiances physiques</t>
        </is>
      </c>
      <c r="B340" s="18" t="inlineStr">
        <is>
          <t>Vibrations main-bras - Médical</t>
        </is>
      </c>
      <c r="C340" s="13" t="inlineStr">
        <is>
          <t>J.22</t>
        </is>
      </c>
      <c r="D340" s="19" t="inlineStr">
        <is>
          <t>Suivi médical des exposés (signes Raynaud)</t>
        </is>
      </c>
      <c r="E340" s="20" t="inlineStr">
        <is>
          <t>Art. R.4446-1</t>
        </is>
      </c>
    </row>
    <row r="341">
      <c r="A341" s="18" t="inlineStr">
        <is>
          <t>J. Bruit, vibrations, ambiances physiques</t>
        </is>
      </c>
      <c r="B341" s="18" t="inlineStr">
        <is>
          <t>Vibrations main-bras - Rotation</t>
        </is>
      </c>
      <c r="C341" s="13" t="inlineStr">
        <is>
          <t>J.23</t>
        </is>
      </c>
      <c r="D341" s="19" t="inlineStr">
        <is>
          <t>Rotation des tâches vibrantes entre plusieurs salariés</t>
        </is>
      </c>
      <c r="E341" s="20" t="inlineStr">
        <is>
          <t>Art. R.4445-2</t>
        </is>
      </c>
    </row>
    <row r="342">
      <c r="A342" s="18" t="inlineStr">
        <is>
          <t>J. Bruit, vibrations, ambiances physiques</t>
        </is>
      </c>
      <c r="B342" s="18" t="inlineStr">
        <is>
          <t>Éclairage</t>
        </is>
      </c>
      <c r="C342" s="13" t="inlineStr">
        <is>
          <t>J.24</t>
        </is>
      </c>
      <c r="D342" s="19" t="inlineStr">
        <is>
          <t>Éclairage minimum 200 lux aux postes de travail</t>
        </is>
      </c>
      <c r="E342" s="20" t="inlineStr">
        <is>
          <t>Art. R.4223-4</t>
        </is>
      </c>
    </row>
    <row r="343">
      <c r="A343" s="18" t="inlineStr">
        <is>
          <t>J. Bruit, vibrations, ambiances physiques</t>
        </is>
      </c>
      <c r="B343" s="18" t="inlineStr">
        <is>
          <t>Éclairage</t>
        </is>
      </c>
      <c r="C343" s="13" t="inlineStr">
        <is>
          <t>J.25</t>
        </is>
      </c>
      <c r="D343" s="19" t="inlineStr">
        <is>
          <t>Éclairage 500 lux pour travail de précision</t>
        </is>
      </c>
      <c r="E343" s="20" t="inlineStr">
        <is>
          <t>Art. R.4223-4</t>
        </is>
      </c>
    </row>
    <row r="344">
      <c r="A344" s="18" t="inlineStr">
        <is>
          <t>J. Bruit, vibrations, ambiances physiques</t>
        </is>
      </c>
      <c r="B344" s="18" t="inlineStr">
        <is>
          <t>Éclairage</t>
        </is>
      </c>
      <c r="C344" s="13" t="inlineStr">
        <is>
          <t>J.26</t>
        </is>
      </c>
      <c r="D344" s="19" t="inlineStr">
        <is>
          <t>Pas d'éblouissement direct ni par réflexion</t>
        </is>
      </c>
      <c r="E344" s="20" t="inlineStr">
        <is>
          <t>Art. R.4223-6</t>
        </is>
      </c>
    </row>
    <row r="345">
      <c r="A345" s="18" t="inlineStr">
        <is>
          <t>J. Bruit, vibrations, ambiances physiques</t>
        </is>
      </c>
      <c r="B345" s="18" t="inlineStr">
        <is>
          <t>Éclairage</t>
        </is>
      </c>
      <c r="C345" s="13" t="inlineStr">
        <is>
          <t>J.27</t>
        </is>
      </c>
      <c r="D345" s="19" t="inlineStr">
        <is>
          <t>Maintenance des éclairages (remplacement préventif)</t>
        </is>
      </c>
      <c r="E345" s="20" t="inlineStr">
        <is>
          <t>Art. R.4223-9</t>
        </is>
      </c>
    </row>
    <row r="346">
      <c r="A346" s="18" t="inlineStr">
        <is>
          <t>J. Bruit, vibrations, ambiances physiques</t>
        </is>
      </c>
      <c r="B346" s="18" t="inlineStr">
        <is>
          <t>Thermique</t>
        </is>
      </c>
      <c r="C346" s="13" t="inlineStr">
        <is>
          <t>J.28</t>
        </is>
      </c>
      <c r="D346" s="19" t="inlineStr">
        <is>
          <t>Locaux chauffés en saison froide (≥ 19°C en bureau)</t>
        </is>
      </c>
      <c r="E346" s="20" t="inlineStr">
        <is>
          <t>Art. R.4223-13</t>
        </is>
      </c>
    </row>
    <row r="347">
      <c r="A347" s="18" t="inlineStr">
        <is>
          <t>J. Bruit, vibrations, ambiances physiques</t>
        </is>
      </c>
      <c r="B347" s="18" t="inlineStr">
        <is>
          <t>Thermique</t>
        </is>
      </c>
      <c r="C347" s="13" t="inlineStr">
        <is>
          <t>J.29</t>
        </is>
      </c>
      <c r="D347" s="19" t="inlineStr">
        <is>
          <t>Pas de courants d'air aux postes de travail</t>
        </is>
      </c>
      <c r="E347" s="20" t="inlineStr">
        <is>
          <t>Art. R.4223-14</t>
        </is>
      </c>
    </row>
    <row r="348">
      <c r="A348" s="18" t="inlineStr">
        <is>
          <t>J. Bruit, vibrations, ambiances physiques</t>
        </is>
      </c>
      <c r="B348" s="18" t="inlineStr">
        <is>
          <t>Thermique</t>
        </is>
      </c>
      <c r="C348" s="13" t="inlineStr">
        <is>
          <t>J.30</t>
        </is>
      </c>
      <c r="D348" s="19" t="inlineStr">
        <is>
          <t>Aération mécanique ou naturelle suffisante (Art. R.4222-1 et s.)</t>
        </is>
      </c>
      <c r="E348" s="20" t="inlineStr">
        <is>
          <t>Art. R.4222-1</t>
        </is>
      </c>
    </row>
    <row r="349">
      <c r="A349" s="18" t="inlineStr">
        <is>
          <t>J. Bruit, vibrations, ambiances physiques</t>
        </is>
      </c>
      <c r="B349" s="18" t="inlineStr">
        <is>
          <t>Thermique</t>
        </is>
      </c>
      <c r="C349" s="13" t="inlineStr">
        <is>
          <t>J.31</t>
        </is>
      </c>
      <c r="D349" s="19" t="inlineStr">
        <is>
          <t>Mesures spécifiques canicule (eau fraîche, pauses, adaptation horaires)</t>
        </is>
      </c>
      <c r="E349" s="20" t="inlineStr">
        <is>
          <t>Art. R.4225-1</t>
        </is>
      </c>
    </row>
    <row r="350">
      <c r="A350" s="18" t="inlineStr">
        <is>
          <t>J. Bruit, vibrations, ambiances physiques</t>
        </is>
      </c>
      <c r="B350" s="18" t="inlineStr">
        <is>
          <t>Thermique</t>
        </is>
      </c>
      <c r="C350" s="13" t="inlineStr">
        <is>
          <t>J.32</t>
        </is>
      </c>
      <c r="D350" s="19" t="inlineStr">
        <is>
          <t>Mesures spécifiques grand froid (vêtements chauds, pauses chauffées)</t>
        </is>
      </c>
      <c r="E350" s="20" t="inlineStr">
        <is>
          <t>Art. R.4225-1</t>
        </is>
      </c>
    </row>
    <row r="351">
      <c r="A351" s="18" t="inlineStr">
        <is>
          <t>J. Bruit, vibrations, ambiances physiques</t>
        </is>
      </c>
      <c r="B351" s="18" t="inlineStr">
        <is>
          <t>Rayonnements</t>
        </is>
      </c>
      <c r="C351" s="13" t="inlineStr">
        <is>
          <t>J.33</t>
        </is>
      </c>
      <c r="D351" s="19" t="inlineStr">
        <is>
          <t>Identification expositions aux rayonnements optiques (UV soudure)</t>
        </is>
      </c>
      <c r="E351" s="20" t="inlineStr">
        <is>
          <t>Art. R.4452-1</t>
        </is>
      </c>
    </row>
    <row r="352">
      <c r="A352" s="18" t="inlineStr">
        <is>
          <t>J. Bruit, vibrations, ambiances physiques</t>
        </is>
      </c>
      <c r="B352" s="18" t="inlineStr">
        <is>
          <t>Rayonnements</t>
        </is>
      </c>
      <c r="C352" s="13" t="inlineStr">
        <is>
          <t>J.34</t>
        </is>
      </c>
      <c r="D352" s="19" t="inlineStr">
        <is>
          <t>EPI adaptés (lunettes filtrantes, écran soudure)</t>
        </is>
      </c>
      <c r="E352" s="20" t="inlineStr">
        <is>
          <t>Art. R.4452-26</t>
        </is>
      </c>
    </row>
    <row r="353">
      <c r="A353" s="18" t="inlineStr">
        <is>
          <t>J. Bruit, vibrations, ambiances physiques</t>
        </is>
      </c>
      <c r="B353" s="18" t="inlineStr">
        <is>
          <t>Rayonnements</t>
        </is>
      </c>
      <c r="C353" s="13" t="inlineStr">
        <is>
          <t>J.35</t>
        </is>
      </c>
      <c r="D353" s="19" t="inlineStr">
        <is>
          <t>Pas de rayonnements ionisants (à confirmer IM2S)</t>
        </is>
      </c>
      <c r="E353" s="20" t="inlineStr">
        <is>
          <t>Code santé publique</t>
        </is>
      </c>
    </row>
    <row r="354">
      <c r="A354" s="14" t="inlineStr">
        <is>
          <t>K. Organisation, formation, suivi</t>
        </is>
      </c>
      <c r="B354" s="14" t="inlineStr">
        <is>
          <t>DUERP</t>
        </is>
      </c>
      <c r="C354" s="15" t="inlineStr">
        <is>
          <t>K.01</t>
        </is>
      </c>
      <c r="D354" s="16" t="inlineStr">
        <is>
          <t>DUERP transcrit et mis à jour annuellement</t>
        </is>
      </c>
      <c r="E354" s="17" t="inlineStr">
        <is>
          <t>Art. R.4121-1</t>
        </is>
      </c>
    </row>
    <row r="355">
      <c r="A355" s="14" t="inlineStr">
        <is>
          <t>K. Organisation, formation, suivi</t>
        </is>
      </c>
      <c r="B355" s="14" t="inlineStr">
        <is>
          <t>DUERP</t>
        </is>
      </c>
      <c r="C355" s="15" t="inlineStr">
        <is>
          <t>K.02</t>
        </is>
      </c>
      <c r="D355" s="16" t="inlineStr">
        <is>
          <t>DUERP mis à jour à chaque aménagement important</t>
        </is>
      </c>
      <c r="E355" s="17" t="inlineStr">
        <is>
          <t>Art. R.4121-2</t>
        </is>
      </c>
    </row>
    <row r="356">
      <c r="A356" s="14" t="inlineStr">
        <is>
          <t>K. Organisation, formation, suivi</t>
        </is>
      </c>
      <c r="B356" s="14" t="inlineStr">
        <is>
          <t>DUERP</t>
        </is>
      </c>
      <c r="C356" s="15" t="inlineStr">
        <is>
          <t>K.03</t>
        </is>
      </c>
      <c r="D356" s="16" t="inlineStr">
        <is>
          <t>Conservation des versions du DUERP pendant 40 ans (loi 2021)</t>
        </is>
      </c>
      <c r="E356" s="17" t="inlineStr">
        <is>
          <t>Art. L.4121-3-1</t>
        </is>
      </c>
    </row>
    <row r="357">
      <c r="A357" s="14" t="inlineStr">
        <is>
          <t>K. Organisation, formation, suivi</t>
        </is>
      </c>
      <c r="B357" s="14" t="inlineStr">
        <is>
          <t>DUERP</t>
        </is>
      </c>
      <c r="C357" s="15" t="inlineStr">
        <is>
          <t>K.04</t>
        </is>
      </c>
      <c r="D357" s="16" t="inlineStr">
        <is>
          <t>Mise à disposition aux salariés et représentants</t>
        </is>
      </c>
      <c r="E357" s="17" t="inlineStr">
        <is>
          <t>Art. R.4121-4</t>
        </is>
      </c>
    </row>
    <row r="358">
      <c r="A358" s="14" t="inlineStr">
        <is>
          <t>K. Organisation, formation, suivi</t>
        </is>
      </c>
      <c r="B358" s="14" t="inlineStr">
        <is>
          <t>DUERP</t>
        </is>
      </c>
      <c r="C358" s="15" t="inlineStr">
        <is>
          <t>K.05</t>
        </is>
      </c>
      <c r="D358" s="16" t="inlineStr">
        <is>
          <t>Affichage de l'avis d'accès au DUERP</t>
        </is>
      </c>
      <c r="E358" s="17" t="inlineStr">
        <is>
          <t>Art. R.4121-4</t>
        </is>
      </c>
    </row>
    <row r="359">
      <c r="A359" s="14" t="inlineStr">
        <is>
          <t>K. Organisation, formation, suivi</t>
        </is>
      </c>
      <c r="B359" s="14" t="inlineStr">
        <is>
          <t>Fiche entreprise</t>
        </is>
      </c>
      <c r="C359" s="15" t="inlineStr">
        <is>
          <t>K.06</t>
        </is>
      </c>
      <c r="D359" s="16" t="inlineStr">
        <is>
          <t>Fiche d'entreprise établie par le médecin du travail</t>
        </is>
      </c>
      <c r="E359" s="17" t="inlineStr">
        <is>
          <t>Art. R.4624-46</t>
        </is>
      </c>
    </row>
    <row r="360">
      <c r="A360" s="14" t="inlineStr">
        <is>
          <t>K. Organisation, formation, suivi</t>
        </is>
      </c>
      <c r="B360" s="14" t="inlineStr">
        <is>
          <t>Fiche entreprise</t>
        </is>
      </c>
      <c r="C360" s="15" t="inlineStr">
        <is>
          <t>K.07</t>
        </is>
      </c>
      <c r="D360" s="16" t="inlineStr">
        <is>
          <t>Mise à jour annuelle de la fiche d'entreprise</t>
        </is>
      </c>
      <c r="E360" s="17" t="inlineStr">
        <is>
          <t>Art. R.4624-46</t>
        </is>
      </c>
    </row>
    <row r="361">
      <c r="A361" s="14" t="inlineStr">
        <is>
          <t>K. Organisation, formation, suivi</t>
        </is>
      </c>
      <c r="B361" s="14" t="inlineStr">
        <is>
          <t>Affichages obligatoires</t>
        </is>
      </c>
      <c r="C361" s="15" t="inlineStr">
        <is>
          <t>K.08</t>
        </is>
      </c>
      <c r="D361" s="16" t="inlineStr">
        <is>
          <t>Affichage horaires de travail</t>
        </is>
      </c>
      <c r="E361" s="17" t="inlineStr">
        <is>
          <t>Art. D.3171-2</t>
        </is>
      </c>
    </row>
    <row r="362">
      <c r="A362" s="14" t="inlineStr">
        <is>
          <t>K. Organisation, formation, suivi</t>
        </is>
      </c>
      <c r="B362" s="14" t="inlineStr">
        <is>
          <t>Affichages obligatoires</t>
        </is>
      </c>
      <c r="C362" s="15" t="inlineStr">
        <is>
          <t>K.09</t>
        </is>
      </c>
      <c r="D362" s="16" t="inlineStr">
        <is>
          <t>Affichage consignes incendie</t>
        </is>
      </c>
      <c r="E362" s="17" t="inlineStr">
        <is>
          <t>Art. R.4227-37</t>
        </is>
      </c>
    </row>
    <row r="363">
      <c r="A363" s="14" t="inlineStr">
        <is>
          <t>K. Organisation, formation, suivi</t>
        </is>
      </c>
      <c r="B363" s="14" t="inlineStr">
        <is>
          <t>Affichages obligatoires</t>
        </is>
      </c>
      <c r="C363" s="15" t="inlineStr">
        <is>
          <t>K.10</t>
        </is>
      </c>
      <c r="D363" s="16" t="inlineStr">
        <is>
          <t>Affichage médecine du travail (nom, coordonnées)</t>
        </is>
      </c>
      <c r="E363" s="17" t="inlineStr">
        <is>
          <t>Art. D.4711-1</t>
        </is>
      </c>
    </row>
    <row r="364">
      <c r="A364" s="14" t="inlineStr">
        <is>
          <t>K. Organisation, formation, suivi</t>
        </is>
      </c>
      <c r="B364" s="14" t="inlineStr">
        <is>
          <t>Affichages obligatoires</t>
        </is>
      </c>
      <c r="C364" s="15" t="inlineStr">
        <is>
          <t>K.11</t>
        </is>
      </c>
      <c r="D364" s="16" t="inlineStr">
        <is>
          <t>Affichage inspection du travail (nom, adresse)</t>
        </is>
      </c>
      <c r="E364" s="17" t="inlineStr">
        <is>
          <t>Art. D.4711-1</t>
        </is>
      </c>
    </row>
    <row r="365">
      <c r="A365" s="14" t="inlineStr">
        <is>
          <t>K. Organisation, formation, suivi</t>
        </is>
      </c>
      <c r="B365" s="14" t="inlineStr">
        <is>
          <t>Affichages obligatoires</t>
        </is>
      </c>
      <c r="C365" s="15" t="inlineStr">
        <is>
          <t>K.12</t>
        </is>
      </c>
      <c r="D365" s="16" t="inlineStr">
        <is>
          <t>Affichage CARSAT, organismes de santé, urgences</t>
        </is>
      </c>
      <c r="E365" s="17" t="inlineStr">
        <is>
          <t>Art. D.4711-1</t>
        </is>
      </c>
    </row>
    <row r="366">
      <c r="A366" s="14" t="inlineStr">
        <is>
          <t>K. Organisation, formation, suivi</t>
        </is>
      </c>
      <c r="B366" s="14" t="inlineStr">
        <is>
          <t>Affichages obligatoires</t>
        </is>
      </c>
      <c r="C366" s="15" t="inlineStr">
        <is>
          <t>K.13</t>
        </is>
      </c>
      <c r="D366" s="16" t="inlineStr">
        <is>
          <t>Affichage convention collective applicable</t>
        </is>
      </c>
      <c r="E366" s="17" t="inlineStr">
        <is>
          <t>Art. R.2262-1</t>
        </is>
      </c>
    </row>
    <row r="367">
      <c r="A367" s="14" t="inlineStr">
        <is>
          <t>K. Organisation, formation, suivi</t>
        </is>
      </c>
      <c r="B367" s="14" t="inlineStr">
        <is>
          <t>Affichages obligatoires</t>
        </is>
      </c>
      <c r="C367" s="15" t="inlineStr">
        <is>
          <t>K.14</t>
        </is>
      </c>
      <c r="D367" s="16" t="inlineStr">
        <is>
          <t>Affichage interdiction de fumer / vapoter</t>
        </is>
      </c>
      <c r="E367" s="17" t="inlineStr">
        <is>
          <t>Décret 2006-1386</t>
        </is>
      </c>
    </row>
    <row r="368">
      <c r="A368" s="14" t="inlineStr">
        <is>
          <t>K. Organisation, formation, suivi</t>
        </is>
      </c>
      <c r="B368" s="14" t="inlineStr">
        <is>
          <t>Affichages obligatoires</t>
        </is>
      </c>
      <c r="C368" s="15" t="inlineStr">
        <is>
          <t>K.15</t>
        </is>
      </c>
      <c r="D368" s="16" t="inlineStr">
        <is>
          <t>Affichage référent harcèlement</t>
        </is>
      </c>
      <c r="E368" s="17" t="inlineStr">
        <is>
          <t>Art. D.1151-1</t>
        </is>
      </c>
    </row>
    <row r="369">
      <c r="A369" s="14" t="inlineStr">
        <is>
          <t>K. Organisation, formation, suivi</t>
        </is>
      </c>
      <c r="B369" s="14" t="inlineStr">
        <is>
          <t>Affichages obligatoires</t>
        </is>
      </c>
      <c r="C369" s="15" t="inlineStr">
        <is>
          <t>K.16</t>
        </is>
      </c>
      <c r="D369" s="16" t="inlineStr">
        <is>
          <t>Affichage congés payés et accords entreprise</t>
        </is>
      </c>
      <c r="E369" s="17" t="inlineStr">
        <is>
          <t>Art. D.3141-6</t>
        </is>
      </c>
    </row>
    <row r="370">
      <c r="A370" s="14" t="inlineStr">
        <is>
          <t>K. Organisation, formation, suivi</t>
        </is>
      </c>
      <c r="B370" s="14" t="inlineStr">
        <is>
          <t>Registres</t>
        </is>
      </c>
      <c r="C370" s="15" t="inlineStr">
        <is>
          <t>K.17</t>
        </is>
      </c>
      <c r="D370" s="16" t="inlineStr">
        <is>
          <t>Registre des accidents du travail tenu à jour</t>
        </is>
      </c>
      <c r="E370" s="17" t="inlineStr">
        <is>
          <t>Art. L.441-1 CSS</t>
        </is>
      </c>
    </row>
    <row r="371">
      <c r="A371" s="14" t="inlineStr">
        <is>
          <t>K. Organisation, formation, suivi</t>
        </is>
      </c>
      <c r="B371" s="14" t="inlineStr">
        <is>
          <t>Registres</t>
        </is>
      </c>
      <c r="C371" s="15" t="inlineStr">
        <is>
          <t>K.18</t>
        </is>
      </c>
      <c r="D371" s="16" t="inlineStr">
        <is>
          <t>Registre des accidents bénins (autorisation CARSAT préalable)</t>
        </is>
      </c>
      <c r="E371" s="17" t="inlineStr">
        <is>
          <t>Art. L.441-4 CSS</t>
        </is>
      </c>
    </row>
    <row r="372">
      <c r="A372" s="14" t="inlineStr">
        <is>
          <t>K. Organisation, formation, suivi</t>
        </is>
      </c>
      <c r="B372" s="14" t="inlineStr">
        <is>
          <t>Registres</t>
        </is>
      </c>
      <c r="C372" s="15" t="inlineStr">
        <is>
          <t>K.19</t>
        </is>
      </c>
      <c r="D372" s="16" t="inlineStr">
        <is>
          <t>Registre hygiène et sécurité</t>
        </is>
      </c>
      <c r="E372" s="17" t="inlineStr">
        <is>
          <t>Art. L.4711-5</t>
        </is>
      </c>
    </row>
    <row r="373">
      <c r="A373" s="14" t="inlineStr">
        <is>
          <t>K. Organisation, formation, suivi</t>
        </is>
      </c>
      <c r="B373" s="14" t="inlineStr">
        <is>
          <t>Registres</t>
        </is>
      </c>
      <c r="C373" s="15" t="inlineStr">
        <is>
          <t>K.20</t>
        </is>
      </c>
      <c r="D373" s="16" t="inlineStr">
        <is>
          <t>Registre incendie</t>
        </is>
      </c>
      <c r="E373" s="17" t="inlineStr">
        <is>
          <t>Art. R.4227-37</t>
        </is>
      </c>
    </row>
    <row r="374">
      <c r="A374" s="14" t="inlineStr">
        <is>
          <t>K. Organisation, formation, suivi</t>
        </is>
      </c>
      <c r="B374" s="14" t="inlineStr">
        <is>
          <t>Registres</t>
        </is>
      </c>
      <c r="C374" s="15" t="inlineStr">
        <is>
          <t>K.21</t>
        </is>
      </c>
      <c r="D374" s="16" t="inlineStr">
        <is>
          <t>Registre des contrôles techniques (Q18, Q19, EPI antichute)</t>
        </is>
      </c>
      <c r="E374" s="17" t="inlineStr">
        <is>
          <t>Art. R.4226-7</t>
        </is>
      </c>
    </row>
    <row r="375">
      <c r="A375" s="14" t="inlineStr">
        <is>
          <t>K. Organisation, formation, suivi</t>
        </is>
      </c>
      <c r="B375" s="14" t="inlineStr">
        <is>
          <t>Registres</t>
        </is>
      </c>
      <c r="C375" s="15" t="inlineStr">
        <is>
          <t>K.22</t>
        </is>
      </c>
      <c r="D375" s="16" t="inlineStr">
        <is>
          <t>Registre des plans de prévention signés</t>
        </is>
      </c>
      <c r="E375" s="17" t="inlineStr">
        <is>
          <t>Art. R.4512-13</t>
        </is>
      </c>
    </row>
    <row r="376">
      <c r="A376" s="14" t="inlineStr">
        <is>
          <t>K. Organisation, formation, suivi</t>
        </is>
      </c>
      <c r="B376" s="14" t="inlineStr">
        <is>
          <t>Registres</t>
        </is>
      </c>
      <c r="C376" s="15" t="inlineStr">
        <is>
          <t>K.23</t>
        </is>
      </c>
      <c r="D376" s="16" t="inlineStr">
        <is>
          <t>Registre du personnel (unique)</t>
        </is>
      </c>
      <c r="E376" s="17" t="inlineStr">
        <is>
          <t>Art. L.1221-13</t>
        </is>
      </c>
    </row>
    <row r="377">
      <c r="A377" s="14" t="inlineStr">
        <is>
          <t>K. Organisation, formation, suivi</t>
        </is>
      </c>
      <c r="B377" s="14" t="inlineStr">
        <is>
          <t>SST</t>
        </is>
      </c>
      <c r="C377" s="15" t="inlineStr">
        <is>
          <t>K.24</t>
        </is>
      </c>
      <c r="D377" s="16" t="inlineStr">
        <is>
          <t>Au moins 1 SST par site / par groupe (recommandation 15% effectif CNAM)</t>
        </is>
      </c>
      <c r="E377" s="17" t="inlineStr">
        <is>
          <t>Reco. CNAMTS</t>
        </is>
      </c>
    </row>
    <row r="378">
      <c r="A378" s="14" t="inlineStr">
        <is>
          <t>K. Organisation, formation, suivi</t>
        </is>
      </c>
      <c r="B378" s="14" t="inlineStr">
        <is>
          <t>SST</t>
        </is>
      </c>
      <c r="C378" s="15" t="inlineStr">
        <is>
          <t>K.25</t>
        </is>
      </c>
      <c r="D378" s="16" t="inlineStr">
        <is>
          <t>Formation SST 14h initiale + MAC 7h tous les 24 mois</t>
        </is>
      </c>
      <c r="E378" s="17" t="inlineStr">
        <is>
          <t>Réf. INRS</t>
        </is>
      </c>
    </row>
    <row r="379">
      <c r="A379" s="14" t="inlineStr">
        <is>
          <t>K. Organisation, formation, suivi</t>
        </is>
      </c>
      <c r="B379" s="14" t="inlineStr">
        <is>
          <t>SST</t>
        </is>
      </c>
      <c r="C379" s="15" t="inlineStr">
        <is>
          <t>K.26</t>
        </is>
      </c>
      <c r="D379" s="16" t="inlineStr">
        <is>
          <t>Identification des SST par badge ou affichage</t>
        </is>
      </c>
      <c r="E379" s="17" t="inlineStr">
        <is>
          <t>Bonne pratique</t>
        </is>
      </c>
    </row>
    <row r="380">
      <c r="A380" s="14" t="inlineStr">
        <is>
          <t>K. Organisation, formation, suivi</t>
        </is>
      </c>
      <c r="B380" s="14" t="inlineStr">
        <is>
          <t>Accueil sécurité</t>
        </is>
      </c>
      <c r="C380" s="15" t="inlineStr">
        <is>
          <t>K.27</t>
        </is>
      </c>
      <c r="D380" s="16" t="inlineStr">
        <is>
          <t>Accueil sécurité formalisé pour chaque nouvel arrivant et intérimaire</t>
        </is>
      </c>
      <c r="E380" s="17" t="inlineStr">
        <is>
          <t>Art. R.4141-2</t>
        </is>
      </c>
    </row>
    <row r="381">
      <c r="A381" s="14" t="inlineStr">
        <is>
          <t>K. Organisation, formation, suivi</t>
        </is>
      </c>
      <c r="B381" s="14" t="inlineStr">
        <is>
          <t>Accueil sécurité</t>
        </is>
      </c>
      <c r="C381" s="15" t="inlineStr">
        <is>
          <t>K.28</t>
        </is>
      </c>
      <c r="D381" s="16" t="inlineStr">
        <is>
          <t>Présentation DUERP + RI + EPI + consignes urgence + référent harcèlement</t>
        </is>
      </c>
      <c r="E381" s="17" t="inlineStr">
        <is>
          <t>Art. R.4141-3</t>
        </is>
      </c>
    </row>
    <row r="382">
      <c r="A382" s="14" t="inlineStr">
        <is>
          <t>K. Organisation, formation, suivi</t>
        </is>
      </c>
      <c r="B382" s="14" t="inlineStr">
        <is>
          <t>Accueil sécurité</t>
        </is>
      </c>
      <c r="C382" s="15" t="inlineStr">
        <is>
          <t>K.29</t>
        </is>
      </c>
      <c r="D382" s="16" t="inlineStr">
        <is>
          <t>Visite des locaux et identification des issues de secours</t>
        </is>
      </c>
      <c r="E382" s="17" t="inlineStr">
        <is>
          <t>Bonne pratique</t>
        </is>
      </c>
    </row>
    <row r="383">
      <c r="A383" s="14" t="inlineStr">
        <is>
          <t>K. Organisation, formation, suivi</t>
        </is>
      </c>
      <c r="B383" s="14" t="inlineStr">
        <is>
          <t>Accueil sécurité</t>
        </is>
      </c>
      <c r="C383" s="15" t="inlineStr">
        <is>
          <t>K.30</t>
        </is>
      </c>
      <c r="D383" s="16" t="inlineStr">
        <is>
          <t>Trace écrite de l'accueil signée (attestation détachable)</t>
        </is>
      </c>
      <c r="E383" s="17" t="inlineStr">
        <is>
          <t>Bonne pratique</t>
        </is>
      </c>
    </row>
    <row r="384">
      <c r="A384" s="14" t="inlineStr">
        <is>
          <t>K. Organisation, formation, suivi</t>
        </is>
      </c>
      <c r="B384" s="14" t="inlineStr">
        <is>
          <t>Formation initiale</t>
        </is>
      </c>
      <c r="C384" s="15" t="inlineStr">
        <is>
          <t>K.31</t>
        </is>
      </c>
      <c r="D384" s="16" t="inlineStr">
        <is>
          <t>Formation à la sécurité initiale renforcée pour postes à risques</t>
        </is>
      </c>
      <c r="E384" s="17" t="inlineStr">
        <is>
          <t>Art. L.4141-2</t>
        </is>
      </c>
    </row>
    <row r="385">
      <c r="A385" s="14" t="inlineStr">
        <is>
          <t>K. Organisation, formation, suivi</t>
        </is>
      </c>
      <c r="B385" s="14" t="inlineStr">
        <is>
          <t>Formation continue</t>
        </is>
      </c>
      <c r="C385" s="15" t="inlineStr">
        <is>
          <t>K.32</t>
        </is>
      </c>
      <c r="D385" s="16" t="inlineStr">
        <is>
          <t>Plan de formation HSE annuel</t>
        </is>
      </c>
      <c r="E385" s="17" t="inlineStr">
        <is>
          <t>Art. L.6321-1</t>
        </is>
      </c>
    </row>
    <row r="386">
      <c r="A386" s="14" t="inlineStr">
        <is>
          <t>K. Organisation, formation, suivi</t>
        </is>
      </c>
      <c r="B386" s="14" t="inlineStr">
        <is>
          <t>Formation continue</t>
        </is>
      </c>
      <c r="C386" s="15" t="inlineStr">
        <is>
          <t>K.33</t>
        </is>
      </c>
      <c r="D386" s="16" t="inlineStr">
        <is>
          <t>Budget formation HSE alloué (idéal ≥ 1% masse salariale)</t>
        </is>
      </c>
      <c r="E386" s="17" t="inlineStr">
        <is>
          <t>Art. L.6331-1</t>
        </is>
      </c>
    </row>
    <row r="387">
      <c r="A387" s="14" t="inlineStr">
        <is>
          <t>K. Organisation, formation, suivi</t>
        </is>
      </c>
      <c r="B387" s="14" t="inlineStr">
        <is>
          <t>Indicateurs</t>
        </is>
      </c>
      <c r="C387" s="15" t="inlineStr">
        <is>
          <t>K.34</t>
        </is>
      </c>
      <c r="D387" s="16" t="inlineStr">
        <is>
          <t>Suivi du Taux de Fréquence (TF) annuel</t>
        </is>
      </c>
      <c r="E387" s="17" t="inlineStr">
        <is>
          <t>INRS</t>
        </is>
      </c>
    </row>
    <row r="388">
      <c r="A388" s="14" t="inlineStr">
        <is>
          <t>K. Organisation, formation, suivi</t>
        </is>
      </c>
      <c r="B388" s="14" t="inlineStr">
        <is>
          <t>Indicateurs</t>
        </is>
      </c>
      <c r="C388" s="15" t="inlineStr">
        <is>
          <t>K.35</t>
        </is>
      </c>
      <c r="D388" s="16" t="inlineStr">
        <is>
          <t>Suivi du Taux de Gravité (TG) annuel</t>
        </is>
      </c>
      <c r="E388" s="17" t="inlineStr">
        <is>
          <t>INRS</t>
        </is>
      </c>
    </row>
    <row r="389">
      <c r="A389" s="14" t="inlineStr">
        <is>
          <t>K. Organisation, formation, suivi</t>
        </is>
      </c>
      <c r="B389" s="14" t="inlineStr">
        <is>
          <t>Indicateurs</t>
        </is>
      </c>
      <c r="C389" s="15" t="inlineStr">
        <is>
          <t>K.36</t>
        </is>
      </c>
      <c r="D389" s="16" t="inlineStr">
        <is>
          <t>Comparaison TF/TG vs moyenne sectorielle (NAF 43.21A : 2,5-3%)</t>
        </is>
      </c>
      <c r="E389" s="17" t="inlineStr">
        <is>
          <t>CARSAT</t>
        </is>
      </c>
    </row>
    <row r="390">
      <c r="A390" s="14" t="inlineStr">
        <is>
          <t>K. Organisation, formation, suivi</t>
        </is>
      </c>
      <c r="B390" s="14" t="inlineStr">
        <is>
          <t>Indicateurs</t>
        </is>
      </c>
      <c r="C390" s="15" t="inlineStr">
        <is>
          <t>K.37</t>
        </is>
      </c>
      <c r="D390" s="16" t="inlineStr">
        <is>
          <t>Nombre de presque-accidents remontés annuellement (signal positif)</t>
        </is>
      </c>
      <c r="E390" s="17" t="inlineStr">
        <is>
          <t>Pyramide Bird</t>
        </is>
      </c>
    </row>
    <row r="391">
      <c r="A391" s="14" t="inlineStr">
        <is>
          <t>K. Organisation, formation, suivi</t>
        </is>
      </c>
      <c r="B391" s="14" t="inlineStr">
        <is>
          <t>Indicateurs</t>
        </is>
      </c>
      <c r="C391" s="15" t="inlineStr">
        <is>
          <t>K.38</t>
        </is>
      </c>
      <c r="D391" s="16" t="inlineStr">
        <is>
          <t>Visites médicales à jour : 100%</t>
        </is>
      </c>
      <c r="E391" s="17" t="inlineStr">
        <is>
          <t>Art. R.4624-10</t>
        </is>
      </c>
    </row>
    <row r="392">
      <c r="A392" s="14" t="inlineStr">
        <is>
          <t>K. Organisation, formation, suivi</t>
        </is>
      </c>
      <c r="B392" s="14" t="inlineStr">
        <is>
          <t>Revue annuelle</t>
        </is>
      </c>
      <c r="C392" s="15" t="inlineStr">
        <is>
          <t>K.39</t>
        </is>
      </c>
      <c r="D392" s="16" t="inlineStr">
        <is>
          <t>Revue annuelle du DUERP avec restitution aux salariés</t>
        </is>
      </c>
      <c r="E392" s="17" t="inlineStr">
        <is>
          <t>Art. R.4121-2</t>
        </is>
      </c>
    </row>
    <row r="393">
      <c r="A393" s="14" t="inlineStr">
        <is>
          <t>K. Organisation, formation, suivi</t>
        </is>
      </c>
      <c r="B393" s="14" t="inlineStr">
        <is>
          <t>Revue annuelle</t>
        </is>
      </c>
      <c r="C393" s="15" t="inlineStr">
        <is>
          <t>K.40</t>
        </is>
      </c>
      <c r="D393" s="16" t="inlineStr">
        <is>
          <t>Discussion avec médecin du travail des résultats</t>
        </is>
      </c>
      <c r="E393" s="17" t="inlineStr">
        <is>
          <t>Bonne pratique</t>
        </is>
      </c>
    </row>
    <row r="394">
      <c r="A394" s="14" t="inlineStr">
        <is>
          <t>K. Organisation, formation, suivi</t>
        </is>
      </c>
      <c r="B394" s="14" t="inlineStr">
        <is>
          <t>Représentation personnel</t>
        </is>
      </c>
      <c r="C394" s="15" t="inlineStr">
        <is>
          <t>K.41</t>
        </is>
      </c>
      <c r="D394" s="16" t="inlineStr">
        <is>
          <t>Élection de représentants personnel si effectif ≥ 11</t>
        </is>
      </c>
      <c r="E394" s="17" t="inlineStr">
        <is>
          <t>Art. L.2311-2</t>
        </is>
      </c>
    </row>
    <row r="395">
      <c r="A395" s="14" t="inlineStr">
        <is>
          <t>K. Organisation, formation, suivi</t>
        </is>
      </c>
      <c r="B395" s="14" t="inlineStr">
        <is>
          <t>Représentation personnel</t>
        </is>
      </c>
      <c r="C395" s="15" t="inlineStr">
        <is>
          <t>K.42</t>
        </is>
      </c>
      <c r="D395" s="16" t="inlineStr">
        <is>
          <t>Élection CSE si effectif ≥ 11</t>
        </is>
      </c>
      <c r="E395" s="17" t="inlineStr">
        <is>
          <t>Art. L.2311-2</t>
        </is>
      </c>
    </row>
    <row r="396">
      <c r="A396" s="14" t="inlineStr">
        <is>
          <t>K. Organisation, formation, suivi</t>
        </is>
      </c>
      <c r="B396" s="14" t="inlineStr">
        <is>
          <t>Représentation personnel</t>
        </is>
      </c>
      <c r="C396" s="15" t="inlineStr">
        <is>
          <t>K.43</t>
        </is>
      </c>
      <c r="D396" s="16" t="inlineStr">
        <is>
          <t>Réunions périodiques avec représentants</t>
        </is>
      </c>
      <c r="E396" s="17" t="inlineStr">
        <is>
          <t>Art. L.2315-21</t>
        </is>
      </c>
    </row>
    <row r="397">
      <c r="A397" s="14" t="inlineStr">
        <is>
          <t>K. Organisation, formation, suivi</t>
        </is>
      </c>
      <c r="B397" s="14" t="inlineStr">
        <is>
          <t>Communication</t>
        </is>
      </c>
      <c r="C397" s="15" t="inlineStr">
        <is>
          <t>K.44</t>
        </is>
      </c>
      <c r="D397" s="16" t="inlineStr">
        <is>
          <t>Causeries sécurité ≥ 6 par an</t>
        </is>
      </c>
      <c r="E397" s="17" t="inlineStr">
        <is>
          <t>Bonne pratique</t>
        </is>
      </c>
    </row>
    <row r="398">
      <c r="A398" s="14" t="inlineStr">
        <is>
          <t>K. Organisation, formation, suivi</t>
        </is>
      </c>
      <c r="B398" s="14" t="inlineStr">
        <is>
          <t>Communication</t>
        </is>
      </c>
      <c r="C398" s="15" t="inlineStr">
        <is>
          <t>K.45</t>
        </is>
      </c>
      <c r="D398" s="16" t="inlineStr">
        <is>
          <t>Plan de communication HSE (newsletter, réunions, affichages)</t>
        </is>
      </c>
      <c r="E398" s="17" t="inlineStr">
        <is>
          <t>Bonne pratique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60" customWidth="1" min="4" max="4"/>
    <col width="22" customWidth="1" min="5" max="5"/>
    <col width="14" customWidth="1" min="6" max="6"/>
    <col width="10" customWidth="1" min="7" max="7"/>
    <col width="14" customWidth="1" min="8" max="8"/>
    <col width="35" customWidth="1" min="9" max="9"/>
    <col width="35" customWidth="1" min="10" max="10"/>
    <col width="14" customWidth="1" min="11" max="11"/>
    <col width="18" customWidth="1" min="12" max="12"/>
  </cols>
  <sheetData>
    <row r="1" ht="30" customHeight="1">
      <c r="A1" s="9" t="inlineStr">
        <is>
          <t>Catégorie</t>
        </is>
      </c>
      <c r="B1" s="9" t="inlineStr">
        <is>
          <t>Sous-catégorie</t>
        </is>
      </c>
      <c r="C1" s="9" t="inlineStr">
        <is>
          <t>Code</t>
        </is>
      </c>
      <c r="D1" s="9" t="inlineStr">
        <is>
          <t>Critère</t>
        </is>
      </c>
      <c r="E1" s="9" t="inlineStr">
        <is>
          <t>Référence</t>
        </is>
      </c>
      <c r="F1" s="9" t="inlineStr">
        <is>
          <t>Réponse</t>
        </is>
      </c>
      <c r="G1" s="9" t="inlineStr">
        <is>
          <t>Note (1-4)</t>
        </is>
      </c>
      <c r="H1" s="9" t="inlineStr">
        <is>
          <t>Maîtrise</t>
        </is>
      </c>
      <c r="I1" s="9" t="inlineStr">
        <is>
          <t>Commentaire / Constat</t>
        </is>
      </c>
      <c r="J1" s="9" t="inlineStr">
        <is>
          <t>Action corrective</t>
        </is>
      </c>
      <c r="K1" s="9" t="inlineStr">
        <is>
          <t>Échéance</t>
        </is>
      </c>
      <c r="L1" s="9" t="inlineStr">
        <is>
          <t>Responsable</t>
        </is>
      </c>
    </row>
    <row r="2">
      <c r="A2" s="21" t="inlineStr">
        <is>
          <t>A. Hauteur &amp; EPI antichute</t>
        </is>
      </c>
      <c r="B2" s="21" t="inlineStr">
        <is>
          <t>Échafaudages</t>
        </is>
      </c>
      <c r="C2" s="22" t="inlineStr">
        <is>
          <t>A.01</t>
        </is>
      </c>
      <c r="D2" s="23" t="inlineStr">
        <is>
          <t>Échafaudages utilisés conformes à la norme NF EN 12810/12811</t>
        </is>
      </c>
      <c r="E2" s="24" t="inlineStr">
        <is>
          <t>NF EN 12810/12811</t>
        </is>
      </c>
      <c r="F2" s="11" t="n"/>
      <c r="G2" s="11" t="n"/>
      <c r="H2" s="11" t="n"/>
      <c r="I2" s="19" t="n"/>
      <c r="J2" s="19" t="n"/>
      <c r="K2" s="19" t="n"/>
      <c r="L2" s="19" t="n"/>
    </row>
    <row r="3">
      <c r="A3" s="21" t="inlineStr">
        <is>
          <t>A. Hauteur &amp; EPI antichute</t>
        </is>
      </c>
      <c r="B3" s="21" t="inlineStr">
        <is>
          <t>Échafaudages</t>
        </is>
      </c>
      <c r="C3" s="22" t="inlineStr">
        <is>
          <t>A.02</t>
        </is>
      </c>
      <c r="D3" s="23" t="inlineStr">
        <is>
          <t>Montage / démontage par personne formée (R.408 CARSAT)</t>
        </is>
      </c>
      <c r="E3" s="24" t="inlineStr">
        <is>
          <t>Reco. CARSAT R.408</t>
        </is>
      </c>
      <c r="F3" s="11" t="n"/>
      <c r="G3" s="11" t="n"/>
      <c r="H3" s="11" t="n"/>
      <c r="I3" s="19" t="n"/>
      <c r="J3" s="19" t="n"/>
      <c r="K3" s="19" t="n"/>
      <c r="L3" s="19" t="n"/>
    </row>
    <row r="4">
      <c r="A4" s="21" t="inlineStr">
        <is>
          <t>A. Hauteur &amp; EPI antichute</t>
        </is>
      </c>
      <c r="B4" s="21" t="inlineStr">
        <is>
          <t>Échafaudages</t>
        </is>
      </c>
      <c r="C4" s="22" t="inlineStr">
        <is>
          <t>A.03</t>
        </is>
      </c>
      <c r="D4" s="23" t="inlineStr">
        <is>
          <t>Examen avant mise en service consigné dans le registre</t>
        </is>
      </c>
      <c r="E4" s="24" t="inlineStr">
        <is>
          <t>Art. R.4323-69</t>
        </is>
      </c>
      <c r="F4" s="11" t="n"/>
      <c r="G4" s="11" t="n"/>
      <c r="H4" s="11" t="n"/>
      <c r="I4" s="19" t="n"/>
      <c r="J4" s="19" t="n"/>
      <c r="K4" s="19" t="n"/>
      <c r="L4" s="19" t="n"/>
    </row>
    <row r="5">
      <c r="A5" s="21" t="inlineStr">
        <is>
          <t>A. Hauteur &amp; EPI antichute</t>
        </is>
      </c>
      <c r="B5" s="21" t="inlineStr">
        <is>
          <t>Échafaudages</t>
        </is>
      </c>
      <c r="C5" s="22" t="inlineStr">
        <is>
          <t>A.04</t>
        </is>
      </c>
      <c r="D5" s="23" t="inlineStr">
        <is>
          <t>Examen journalier de l'état de conservation avant utilisation</t>
        </is>
      </c>
      <c r="E5" s="24" t="inlineStr">
        <is>
          <t>Art. R.4323-70</t>
        </is>
      </c>
      <c r="F5" s="11" t="n"/>
      <c r="G5" s="11" t="n"/>
      <c r="H5" s="11" t="n"/>
      <c r="I5" s="19" t="n"/>
      <c r="J5" s="19" t="n"/>
      <c r="K5" s="19" t="n"/>
      <c r="L5" s="19" t="n"/>
    </row>
    <row r="6">
      <c r="A6" s="21" t="inlineStr">
        <is>
          <t>A. Hauteur &amp; EPI antichute</t>
        </is>
      </c>
      <c r="B6" s="21" t="inlineStr">
        <is>
          <t>Échafaudages</t>
        </is>
      </c>
      <c r="C6" s="22" t="inlineStr">
        <is>
          <t>A.05</t>
        </is>
      </c>
      <c r="D6" s="23" t="inlineStr">
        <is>
          <t>Examen trimestriel de fonctionnement et conformité</t>
        </is>
      </c>
      <c r="E6" s="24" t="inlineStr">
        <is>
          <t>Art. R.4323-71</t>
        </is>
      </c>
      <c r="F6" s="11" t="n"/>
      <c r="G6" s="11" t="n"/>
      <c r="H6" s="11" t="n"/>
      <c r="I6" s="19" t="n"/>
      <c r="J6" s="19" t="n"/>
      <c r="K6" s="19" t="n"/>
      <c r="L6" s="19" t="n"/>
    </row>
    <row r="7">
      <c r="A7" s="21" t="inlineStr">
        <is>
          <t>A. Hauteur &amp; EPI antichute</t>
        </is>
      </c>
      <c r="B7" s="21" t="inlineStr">
        <is>
          <t>Échafaudages</t>
        </is>
      </c>
      <c r="C7" s="22" t="inlineStr">
        <is>
          <t>A.06</t>
        </is>
      </c>
      <c r="D7" s="23" t="inlineStr">
        <is>
          <t>Plinthes de pied (≥ 15 cm) sur tous les niveaux de travail</t>
        </is>
      </c>
      <c r="E7" s="24" t="inlineStr">
        <is>
          <t>Art. R.4323-59</t>
        </is>
      </c>
      <c r="F7" s="11" t="n"/>
      <c r="G7" s="11" t="n"/>
      <c r="H7" s="11" t="n"/>
      <c r="I7" s="19" t="n"/>
      <c r="J7" s="19" t="n"/>
      <c r="K7" s="19" t="n"/>
      <c r="L7" s="19" t="n"/>
    </row>
    <row r="8">
      <c r="A8" s="21" t="inlineStr">
        <is>
          <t>A. Hauteur &amp; EPI antichute</t>
        </is>
      </c>
      <c r="B8" s="21" t="inlineStr">
        <is>
          <t>Échafaudages</t>
        </is>
      </c>
      <c r="C8" s="22" t="inlineStr">
        <is>
          <t>A.07</t>
        </is>
      </c>
      <c r="D8" s="23" t="inlineStr">
        <is>
          <t>Garde-corps principal à 1 m + sous-lisse à 45 cm + plinthe</t>
        </is>
      </c>
      <c r="E8" s="24" t="inlineStr">
        <is>
          <t>Art. R.4323-59</t>
        </is>
      </c>
      <c r="F8" s="11" t="n"/>
      <c r="G8" s="11" t="n"/>
      <c r="H8" s="11" t="n"/>
      <c r="I8" s="19" t="n"/>
      <c r="J8" s="19" t="n"/>
      <c r="K8" s="19" t="n"/>
      <c r="L8" s="19" t="n"/>
    </row>
    <row r="9">
      <c r="A9" s="21" t="inlineStr">
        <is>
          <t>A. Hauteur &amp; EPI antichute</t>
        </is>
      </c>
      <c r="B9" s="21" t="inlineStr">
        <is>
          <t>Échafaudages</t>
        </is>
      </c>
      <c r="C9" s="22" t="inlineStr">
        <is>
          <t>A.08</t>
        </is>
      </c>
      <c r="D9" s="23" t="inlineStr">
        <is>
          <t>Plancher complet, jointif, antidérapant</t>
        </is>
      </c>
      <c r="E9" s="24" t="inlineStr">
        <is>
          <t>Art. R.4323-69</t>
        </is>
      </c>
      <c r="F9" s="11" t="n"/>
      <c r="G9" s="11" t="n"/>
      <c r="H9" s="11" t="n"/>
      <c r="I9" s="19" t="n"/>
      <c r="J9" s="19" t="n"/>
      <c r="K9" s="19" t="n"/>
      <c r="L9" s="19" t="n"/>
    </row>
    <row r="10">
      <c r="A10" s="21" t="inlineStr">
        <is>
          <t>A. Hauteur &amp; EPI antichute</t>
        </is>
      </c>
      <c r="B10" s="21" t="inlineStr">
        <is>
          <t>Échafaudages</t>
        </is>
      </c>
      <c r="C10" s="22" t="inlineStr">
        <is>
          <t>A.09</t>
        </is>
      </c>
      <c r="D10" s="23" t="inlineStr">
        <is>
          <t>Accès aux niveaux par échelle intérieure ou escalier</t>
        </is>
      </c>
      <c r="E10" s="24" t="inlineStr">
        <is>
          <t>Art. R.4323-69</t>
        </is>
      </c>
      <c r="F10" s="11" t="n"/>
      <c r="G10" s="11" t="n"/>
      <c r="H10" s="11" t="n"/>
      <c r="I10" s="19" t="n"/>
      <c r="J10" s="19" t="n"/>
      <c r="K10" s="19" t="n"/>
      <c r="L10" s="19" t="n"/>
    </row>
    <row r="11">
      <c r="A11" s="21" t="inlineStr">
        <is>
          <t>A. Hauteur &amp; EPI antichute</t>
        </is>
      </c>
      <c r="B11" s="21" t="inlineStr">
        <is>
          <t>Échafaudages</t>
        </is>
      </c>
      <c r="C11" s="22" t="inlineStr">
        <is>
          <t>A.10</t>
        </is>
      </c>
      <c r="D11" s="23" t="inlineStr">
        <is>
          <t>Stabilisation par ancrages calculés (vent, charge, hauteur)</t>
        </is>
      </c>
      <c r="E11" s="24" t="inlineStr">
        <is>
          <t>NF EN 12811</t>
        </is>
      </c>
      <c r="F11" s="11" t="n"/>
      <c r="G11" s="11" t="n"/>
      <c r="H11" s="11" t="n"/>
      <c r="I11" s="19" t="n"/>
      <c r="J11" s="19" t="n"/>
      <c r="K11" s="19" t="n"/>
      <c r="L11" s="19" t="n"/>
    </row>
    <row r="12">
      <c r="A12" s="21" t="inlineStr">
        <is>
          <t>A. Hauteur &amp; EPI antichute</t>
        </is>
      </c>
      <c r="B12" s="21" t="inlineStr">
        <is>
          <t>Échafaudages</t>
        </is>
      </c>
      <c r="C12" s="22" t="inlineStr">
        <is>
          <t>A.11</t>
        </is>
      </c>
      <c r="D12" s="23" t="inlineStr">
        <is>
          <t>Note de calcul disponible pour échafaudages &gt; 24 m</t>
        </is>
      </c>
      <c r="E12" s="24" t="inlineStr">
        <is>
          <t>Art. R.4323-69</t>
        </is>
      </c>
      <c r="F12" s="11" t="n"/>
      <c r="G12" s="11" t="n"/>
      <c r="H12" s="11" t="n"/>
      <c r="I12" s="19" t="n"/>
      <c r="J12" s="19" t="n"/>
      <c r="K12" s="19" t="n"/>
      <c r="L12" s="19" t="n"/>
    </row>
    <row r="13">
      <c r="A13" s="21" t="inlineStr">
        <is>
          <t>A. Hauteur &amp; EPI antichute</t>
        </is>
      </c>
      <c r="B13" s="21" t="inlineStr">
        <is>
          <t>PEMP (nacelles)</t>
        </is>
      </c>
      <c r="C13" s="22" t="inlineStr">
        <is>
          <t>A.12</t>
        </is>
      </c>
      <c r="D13" s="23" t="inlineStr">
        <is>
          <t>CACES R.486 cat. A et/ou B en cours de validité (5 ans)</t>
        </is>
      </c>
      <c r="E13" s="24" t="inlineStr">
        <is>
          <t>Reco. CACES R.486</t>
        </is>
      </c>
      <c r="F13" s="11" t="n"/>
      <c r="G13" s="11" t="n"/>
      <c r="H13" s="11" t="n"/>
      <c r="I13" s="19" t="n"/>
      <c r="J13" s="19" t="n"/>
      <c r="K13" s="19" t="n"/>
      <c r="L13" s="19" t="n"/>
    </row>
    <row r="14">
      <c r="A14" s="21" t="inlineStr">
        <is>
          <t>A. Hauteur &amp; EPI antichute</t>
        </is>
      </c>
      <c r="B14" s="21" t="inlineStr">
        <is>
          <t>PEMP (nacelles)</t>
        </is>
      </c>
      <c r="C14" s="22" t="inlineStr">
        <is>
          <t>A.13</t>
        </is>
      </c>
      <c r="D14" s="23" t="inlineStr">
        <is>
          <t>Autorisation de conduite délivrée par l'employeur (distincte du CACES)</t>
        </is>
      </c>
      <c r="E14" s="24" t="inlineStr">
        <is>
          <t>Art. R.4323-56</t>
        </is>
      </c>
      <c r="F14" s="11" t="n"/>
      <c r="G14" s="11" t="n"/>
      <c r="H14" s="11" t="n"/>
      <c r="I14" s="19" t="n"/>
      <c r="J14" s="19" t="n"/>
      <c r="K14" s="19" t="n"/>
      <c r="L14" s="19" t="n"/>
    </row>
    <row r="15">
      <c r="A15" s="21" t="inlineStr">
        <is>
          <t>A. Hauteur &amp; EPI antichute</t>
        </is>
      </c>
      <c r="B15" s="21" t="inlineStr">
        <is>
          <t>PEMP (nacelles)</t>
        </is>
      </c>
      <c r="C15" s="22" t="inlineStr">
        <is>
          <t>A.14</t>
        </is>
      </c>
      <c r="D15" s="23" t="inlineStr">
        <is>
          <t>Vérification d'adéquation avant chaque utilisation (sol, dégagement, météo)</t>
        </is>
      </c>
      <c r="E15" s="24" t="inlineStr">
        <is>
          <t>Art. R.4323-22</t>
        </is>
      </c>
      <c r="F15" s="11" t="n"/>
      <c r="G15" s="11" t="n"/>
      <c r="H15" s="11" t="n"/>
      <c r="I15" s="19" t="n"/>
      <c r="J15" s="19" t="n"/>
      <c r="K15" s="19" t="n"/>
      <c r="L15" s="19" t="n"/>
    </row>
    <row r="16">
      <c r="A16" s="21" t="inlineStr">
        <is>
          <t>A. Hauteur &amp; EPI antichute</t>
        </is>
      </c>
      <c r="B16" s="21" t="inlineStr">
        <is>
          <t>PEMP (nacelles)</t>
        </is>
      </c>
      <c r="C16" s="22" t="inlineStr">
        <is>
          <t>A.15</t>
        </is>
      </c>
      <c r="D16" s="23" t="inlineStr">
        <is>
          <t>VGP semestrielle (6 mois)</t>
        </is>
      </c>
      <c r="E16" s="24" t="inlineStr">
        <is>
          <t>Arrêté 01/03/2004</t>
        </is>
      </c>
      <c r="F16" s="11" t="n"/>
      <c r="G16" s="11" t="n"/>
      <c r="H16" s="11" t="n"/>
      <c r="I16" s="19" t="n"/>
      <c r="J16" s="19" t="n"/>
      <c r="K16" s="19" t="n"/>
      <c r="L16" s="19" t="n"/>
    </row>
    <row r="17">
      <c r="A17" s="21" t="inlineStr">
        <is>
          <t>A. Hauteur &amp; EPI antichute</t>
        </is>
      </c>
      <c r="B17" s="21" t="inlineStr">
        <is>
          <t>PEMP (nacelles)</t>
        </is>
      </c>
      <c r="C17" s="22" t="inlineStr">
        <is>
          <t>A.16</t>
        </is>
      </c>
      <c r="D17" s="23" t="inlineStr">
        <is>
          <t>Port systématique du harnais avec longe courte attachée au point d'ancrage nacelle</t>
        </is>
      </c>
      <c r="E17" s="24" t="inlineStr">
        <is>
          <t>Art. R.4323-104</t>
        </is>
      </c>
      <c r="F17" s="11" t="n"/>
      <c r="G17" s="11" t="n"/>
      <c r="H17" s="11" t="n"/>
      <c r="I17" s="19" t="n"/>
      <c r="J17" s="19" t="n"/>
      <c r="K17" s="19" t="n"/>
      <c r="L17" s="19" t="n"/>
    </row>
    <row r="18">
      <c r="A18" s="21" t="inlineStr">
        <is>
          <t>A. Hauteur &amp; EPI antichute</t>
        </is>
      </c>
      <c r="B18" s="21" t="inlineStr">
        <is>
          <t>PEMP (nacelles)</t>
        </is>
      </c>
      <c r="C18" s="22" t="inlineStr">
        <is>
          <t>A.17</t>
        </is>
      </c>
      <c r="D18" s="23" t="inlineStr">
        <is>
          <t>Limitation d'usage par vent &gt; 45 km/h ou conditions exceptionnelles</t>
        </is>
      </c>
      <c r="E18" s="24" t="inlineStr">
        <is>
          <t>Notice constructeur</t>
        </is>
      </c>
      <c r="F18" s="11" t="n"/>
      <c r="G18" s="11" t="n"/>
      <c r="H18" s="11" t="n"/>
      <c r="I18" s="19" t="n"/>
      <c r="J18" s="19" t="n"/>
      <c r="K18" s="19" t="n"/>
      <c r="L18" s="19" t="n"/>
    </row>
    <row r="19">
      <c r="A19" s="21" t="inlineStr">
        <is>
          <t>A. Hauteur &amp; EPI antichute</t>
        </is>
      </c>
      <c r="B19" s="21" t="inlineStr">
        <is>
          <t>Échelles, escabeaux</t>
        </is>
      </c>
      <c r="C19" s="22" t="inlineStr">
        <is>
          <t>A.18</t>
        </is>
      </c>
      <c r="D19" s="23" t="inlineStr">
        <is>
          <t>Note interne : échelle = moyen d'accès, pas poste de travail</t>
        </is>
      </c>
      <c r="E19" s="24" t="inlineStr">
        <is>
          <t>Art. R.4323-63</t>
        </is>
      </c>
      <c r="F19" s="11" t="n"/>
      <c r="G19" s="11" t="n"/>
      <c r="H19" s="11" t="n"/>
      <c r="I19" s="19" t="n"/>
      <c r="J19" s="19" t="n"/>
      <c r="K19" s="19" t="n"/>
      <c r="L19" s="19" t="n"/>
    </row>
    <row r="20">
      <c r="A20" s="21" t="inlineStr">
        <is>
          <t>A. Hauteur &amp; EPI antichute</t>
        </is>
      </c>
      <c r="B20" s="21" t="inlineStr">
        <is>
          <t>Échelles, escabeaux</t>
        </is>
      </c>
      <c r="C20" s="22" t="inlineStr">
        <is>
          <t>A.19</t>
        </is>
      </c>
      <c r="D20" s="23" t="inlineStr">
        <is>
          <t>Inventaire des échelles et escabeaux, marquage individuel</t>
        </is>
      </c>
      <c r="E20" s="24" t="inlineStr">
        <is>
          <t>Art. R.4323-99</t>
        </is>
      </c>
      <c r="F20" s="11" t="n"/>
      <c r="G20" s="11" t="n"/>
      <c r="H20" s="11" t="n"/>
      <c r="I20" s="19" t="n"/>
      <c r="J20" s="19" t="n"/>
      <c r="K20" s="19" t="n"/>
      <c r="L20" s="19" t="n"/>
    </row>
    <row r="21">
      <c r="A21" s="21" t="inlineStr">
        <is>
          <t>A. Hauteur &amp; EPI antichute</t>
        </is>
      </c>
      <c r="B21" s="21" t="inlineStr">
        <is>
          <t>Échelles, escabeaux</t>
        </is>
      </c>
      <c r="C21" s="22" t="inlineStr">
        <is>
          <t>A.20</t>
        </is>
      </c>
      <c r="D21" s="23" t="inlineStr">
        <is>
          <t>Vérification visuelle quotidienne par l'utilisateur</t>
        </is>
      </c>
      <c r="E21" s="24" t="inlineStr">
        <is>
          <t>Art. R.4323-99</t>
        </is>
      </c>
      <c r="F21" s="11" t="n"/>
      <c r="G21" s="11" t="n"/>
      <c r="H21" s="11" t="n"/>
      <c r="I21" s="19" t="n"/>
      <c r="J21" s="19" t="n"/>
      <c r="K21" s="19" t="n"/>
      <c r="L21" s="19" t="n"/>
    </row>
    <row r="22">
      <c r="A22" s="21" t="inlineStr">
        <is>
          <t>A. Hauteur &amp; EPI antichute</t>
        </is>
      </c>
      <c r="B22" s="21" t="inlineStr">
        <is>
          <t>Échelles, escabeaux</t>
        </is>
      </c>
      <c r="C22" s="22" t="inlineStr">
        <is>
          <t>A.21</t>
        </is>
      </c>
      <c r="D22" s="23" t="inlineStr">
        <is>
          <t>Mise au rebut des matériels endommagés (registre des réformes)</t>
        </is>
      </c>
      <c r="E22" s="24" t="inlineStr">
        <is>
          <t>Art. R.4323-99</t>
        </is>
      </c>
      <c r="F22" s="11" t="n"/>
      <c r="G22" s="11" t="n"/>
      <c r="H22" s="11" t="n"/>
      <c r="I22" s="19" t="n"/>
      <c r="J22" s="19" t="n"/>
      <c r="K22" s="19" t="n"/>
      <c r="L22" s="19" t="n"/>
    </row>
    <row r="23">
      <c r="A23" s="21" t="inlineStr">
        <is>
          <t>A. Hauteur &amp; EPI antichute</t>
        </is>
      </c>
      <c r="B23" s="21" t="inlineStr">
        <is>
          <t>Échelles, escabeaux</t>
        </is>
      </c>
      <c r="C23" s="22" t="inlineStr">
        <is>
          <t>A.22</t>
        </is>
      </c>
      <c r="D23" s="23" t="inlineStr">
        <is>
          <t>PIRL préférée pour interventions ponctuelles &lt; 3 m</t>
        </is>
      </c>
      <c r="E23" s="24" t="inlineStr">
        <is>
          <t>INRS ED 6110</t>
        </is>
      </c>
      <c r="F23" s="11" t="n"/>
      <c r="G23" s="11" t="n"/>
      <c r="H23" s="11" t="n"/>
      <c r="I23" s="19" t="n"/>
      <c r="J23" s="19" t="n"/>
      <c r="K23" s="19" t="n"/>
      <c r="L23" s="19" t="n"/>
    </row>
    <row r="24">
      <c r="A24" s="21" t="inlineStr">
        <is>
          <t>A. Hauteur &amp; EPI antichute</t>
        </is>
      </c>
      <c r="B24" s="21" t="inlineStr">
        <is>
          <t>Échelles, escabeaux</t>
        </is>
      </c>
      <c r="C24" s="22" t="inlineStr">
        <is>
          <t>A.23</t>
        </is>
      </c>
      <c r="D24" s="23" t="inlineStr">
        <is>
          <t>Hauteur max d'utilisation respectée selon notice</t>
        </is>
      </c>
      <c r="E24" s="24" t="inlineStr">
        <is>
          <t>Notice constructeur</t>
        </is>
      </c>
      <c r="F24" s="11" t="n"/>
      <c r="G24" s="11" t="n"/>
      <c r="H24" s="11" t="n"/>
      <c r="I24" s="19" t="n"/>
      <c r="J24" s="19" t="n"/>
      <c r="K24" s="19" t="n"/>
      <c r="L24" s="19" t="n"/>
    </row>
    <row r="25">
      <c r="A25" s="21" t="inlineStr">
        <is>
          <t>A. Hauteur &amp; EPI antichute</t>
        </is>
      </c>
      <c r="B25" s="21" t="inlineStr">
        <is>
          <t>Toitures</t>
        </is>
      </c>
      <c r="C25" s="22" t="inlineStr">
        <is>
          <t>A.24</t>
        </is>
      </c>
      <c r="D25" s="23" t="inlineStr">
        <is>
          <t>DTA exigé du maître d'ouvrage avant toute intervention en toiture sur bâtiment &lt; 1997</t>
        </is>
      </c>
      <c r="E25" s="24" t="inlineStr">
        <is>
          <t>Art. R.4412-97</t>
        </is>
      </c>
      <c r="F25" s="11" t="n"/>
      <c r="G25" s="11" t="n"/>
      <c r="H25" s="11" t="n"/>
      <c r="I25" s="19" t="n"/>
      <c r="J25" s="19" t="n"/>
      <c r="K25" s="19" t="n"/>
      <c r="L25" s="19" t="n"/>
    </row>
    <row r="26">
      <c r="A26" s="21" t="inlineStr">
        <is>
          <t>A. Hauteur &amp; EPI antichute</t>
        </is>
      </c>
      <c r="B26" s="21" t="inlineStr">
        <is>
          <t>Toitures</t>
        </is>
      </c>
      <c r="C26" s="22" t="inlineStr">
        <is>
          <t>A.25</t>
        </is>
      </c>
      <c r="D26" s="23" t="inlineStr">
        <is>
          <t>Plan de protection collective (filets, lignes de vie, garde-corps temporaires)</t>
        </is>
      </c>
      <c r="E26" s="24" t="inlineStr">
        <is>
          <t>Reco. CARSAT R.457</t>
        </is>
      </c>
      <c r="F26" s="11" t="n"/>
      <c r="G26" s="11" t="n"/>
      <c r="H26" s="11" t="n"/>
      <c r="I26" s="19" t="n"/>
      <c r="J26" s="19" t="n"/>
      <c r="K26" s="19" t="n"/>
      <c r="L26" s="19" t="n"/>
    </row>
    <row r="27">
      <c r="A27" s="21" t="inlineStr">
        <is>
          <t>A. Hauteur &amp; EPI antichute</t>
        </is>
      </c>
      <c r="B27" s="21" t="inlineStr">
        <is>
          <t>Toitures</t>
        </is>
      </c>
      <c r="C27" s="22" t="inlineStr">
        <is>
          <t>A.26</t>
        </is>
      </c>
      <c r="D27" s="23" t="inlineStr">
        <is>
          <t>Grilles anti-chute 1200 J pour exutoires de désenfumage (réf. devis Sérigraphie)</t>
        </is>
      </c>
      <c r="E27" s="24" t="inlineStr">
        <is>
          <t>NF EN 12101-2</t>
        </is>
      </c>
      <c r="F27" s="11" t="n"/>
      <c r="G27" s="11" t="n"/>
      <c r="H27" s="11" t="n"/>
      <c r="I27" s="19" t="n"/>
      <c r="J27" s="19" t="n"/>
      <c r="K27" s="19" t="n"/>
      <c r="L27" s="19" t="n"/>
    </row>
    <row r="28">
      <c r="A28" s="21" t="inlineStr">
        <is>
          <t>A. Hauteur &amp; EPI antichute</t>
        </is>
      </c>
      <c r="B28" s="21" t="inlineStr">
        <is>
          <t>Toitures</t>
        </is>
      </c>
      <c r="C28" s="22" t="inlineStr">
        <is>
          <t>A.27</t>
        </is>
      </c>
      <c r="D28" s="23" t="inlineStr">
        <is>
          <t>Travail interdit ou sécurisé en cas de pluie, gel, neige ou vent &gt; 50 km/h</t>
        </is>
      </c>
      <c r="E28" s="24" t="inlineStr">
        <is>
          <t>Art. R.4323-58</t>
        </is>
      </c>
      <c r="F28" s="11" t="n"/>
      <c r="G28" s="11" t="n"/>
      <c r="H28" s="11" t="n"/>
      <c r="I28" s="19" t="n"/>
      <c r="J28" s="19" t="n"/>
      <c r="K28" s="19" t="n"/>
      <c r="L28" s="19" t="n"/>
    </row>
    <row r="29">
      <c r="A29" s="21" t="inlineStr">
        <is>
          <t>A. Hauteur &amp; EPI antichute</t>
        </is>
      </c>
      <c r="B29" s="21" t="inlineStr">
        <is>
          <t>EPI antichute</t>
        </is>
      </c>
      <c r="C29" s="22" t="inlineStr">
        <is>
          <t>A.28</t>
        </is>
      </c>
      <c r="D29" s="23" t="inlineStr">
        <is>
          <t>Harnais individuel attribué nominativement (NF EN 361)</t>
        </is>
      </c>
      <c r="E29" s="24" t="inlineStr">
        <is>
          <t>Art. R.4323-95</t>
        </is>
      </c>
      <c r="F29" s="11" t="n"/>
      <c r="G29" s="11" t="n"/>
      <c r="H29" s="11" t="n"/>
      <c r="I29" s="19" t="n"/>
      <c r="J29" s="19" t="n"/>
      <c r="K29" s="19" t="n"/>
      <c r="L29" s="19" t="n"/>
    </row>
    <row r="30">
      <c r="A30" s="21" t="inlineStr">
        <is>
          <t>A. Hauteur &amp; EPI antichute</t>
        </is>
      </c>
      <c r="B30" s="21" t="inlineStr">
        <is>
          <t>EPI antichute</t>
        </is>
      </c>
      <c r="C30" s="22" t="inlineStr">
        <is>
          <t>A.29</t>
        </is>
      </c>
      <c r="D30" s="23" t="inlineStr">
        <is>
          <t>Vérification annuelle par personne compétente (date sur registre + étiquette EPI)</t>
        </is>
      </c>
      <c r="E30" s="24" t="inlineStr">
        <is>
          <t>Art. R.4323-99</t>
        </is>
      </c>
      <c r="F30" s="11" t="n"/>
      <c r="G30" s="11" t="n"/>
      <c r="H30" s="11" t="n"/>
      <c r="I30" s="19" t="n"/>
      <c r="J30" s="19" t="n"/>
      <c r="K30" s="19" t="n"/>
      <c r="L30" s="19" t="n"/>
    </row>
    <row r="31">
      <c r="A31" s="21" t="inlineStr">
        <is>
          <t>A. Hauteur &amp; EPI antichute</t>
        </is>
      </c>
      <c r="B31" s="21" t="inlineStr">
        <is>
          <t>EPI antichute</t>
        </is>
      </c>
      <c r="C31" s="22" t="inlineStr">
        <is>
          <t>A.30</t>
        </is>
      </c>
      <c r="D31" s="23" t="inlineStr">
        <is>
          <t>Longes (NF EN 354 + 355), absorbeurs d'énergie, connecteurs (NF EN 362)</t>
        </is>
      </c>
      <c r="E31" s="24" t="inlineStr">
        <is>
          <t>Normes EPI antichute</t>
        </is>
      </c>
      <c r="F31" s="11" t="n"/>
      <c r="G31" s="11" t="n"/>
      <c r="H31" s="11" t="n"/>
      <c r="I31" s="19" t="n"/>
      <c r="J31" s="19" t="n"/>
      <c r="K31" s="19" t="n"/>
      <c r="L31" s="19" t="n"/>
    </row>
    <row r="32">
      <c r="A32" s="21" t="inlineStr">
        <is>
          <t>A. Hauteur &amp; EPI antichute</t>
        </is>
      </c>
      <c r="B32" s="21" t="inlineStr">
        <is>
          <t>EPI antichute</t>
        </is>
      </c>
      <c r="C32" s="22" t="inlineStr">
        <is>
          <t>A.31</t>
        </is>
      </c>
      <c r="D32" s="23" t="inlineStr">
        <is>
          <t>Mise hors service obligatoire après chute (même sans dommage apparent)</t>
        </is>
      </c>
      <c r="E32" s="24" t="inlineStr">
        <is>
          <t>Notice fabricant</t>
        </is>
      </c>
      <c r="F32" s="11" t="n"/>
      <c r="G32" s="11" t="n"/>
      <c r="H32" s="11" t="n"/>
      <c r="I32" s="19" t="n"/>
      <c r="J32" s="19" t="n"/>
      <c r="K32" s="19" t="n"/>
      <c r="L32" s="19" t="n"/>
    </row>
    <row r="33">
      <c r="A33" s="21" t="inlineStr">
        <is>
          <t>A. Hauteur &amp; EPI antichute</t>
        </is>
      </c>
      <c r="B33" s="21" t="inlineStr">
        <is>
          <t>EPI antichute</t>
        </is>
      </c>
      <c r="C33" s="22" t="inlineStr">
        <is>
          <t>A.32</t>
        </is>
      </c>
      <c r="D33" s="23" t="inlineStr">
        <is>
          <t>Formation au port + vérification + entretien des EPI antichute</t>
        </is>
      </c>
      <c r="E33" s="24" t="inlineStr">
        <is>
          <t>Art. R.4323-106</t>
        </is>
      </c>
      <c r="F33" s="11" t="n"/>
      <c r="G33" s="11" t="n"/>
      <c r="H33" s="11" t="n"/>
      <c r="I33" s="19" t="n"/>
      <c r="J33" s="19" t="n"/>
      <c r="K33" s="19" t="n"/>
      <c r="L33" s="19" t="n"/>
    </row>
    <row r="34">
      <c r="A34" s="21" t="inlineStr">
        <is>
          <t>A. Hauteur &amp; EPI antichute</t>
        </is>
      </c>
      <c r="B34" s="21" t="inlineStr">
        <is>
          <t>EPI antichute</t>
        </is>
      </c>
      <c r="C34" s="22" t="inlineStr">
        <is>
          <t>A.33</t>
        </is>
      </c>
      <c r="D34" s="23" t="inlineStr">
        <is>
          <t>Lignes de vie temporaires conformes (NF EN 795)</t>
        </is>
      </c>
      <c r="E34" s="24" t="inlineStr">
        <is>
          <t>NF EN 795</t>
        </is>
      </c>
      <c r="F34" s="11" t="n"/>
      <c r="G34" s="11" t="n"/>
      <c r="H34" s="11" t="n"/>
      <c r="I34" s="19" t="n"/>
      <c r="J34" s="19" t="n"/>
      <c r="K34" s="19" t="n"/>
      <c r="L34" s="19" t="n"/>
    </row>
    <row r="35">
      <c r="A35" s="21" t="inlineStr">
        <is>
          <t>A. Hauteur &amp; EPI antichute</t>
        </is>
      </c>
      <c r="B35" s="21" t="inlineStr">
        <is>
          <t>Permis travail hauteur</t>
        </is>
      </c>
      <c r="C35" s="22" t="inlineStr">
        <is>
          <t>A.34</t>
        </is>
      </c>
      <c r="D35" s="23" t="inlineStr">
        <is>
          <t>Permis de travail en hauteur formalisé pour interventions &gt; 2 m</t>
        </is>
      </c>
      <c r="E35" s="24" t="inlineStr">
        <is>
          <t>Bonne pratique</t>
        </is>
      </c>
      <c r="F35" s="11" t="n"/>
      <c r="G35" s="11" t="n"/>
      <c r="H35" s="11" t="n"/>
      <c r="I35" s="19" t="n"/>
      <c r="J35" s="19" t="n"/>
      <c r="K35" s="19" t="n"/>
      <c r="L35" s="19" t="n"/>
    </row>
    <row r="36">
      <c r="A36" s="21" t="inlineStr">
        <is>
          <t>A. Hauteur &amp; EPI antichute</t>
        </is>
      </c>
      <c r="B36" s="21" t="inlineStr">
        <is>
          <t>Permis travail hauteur</t>
        </is>
      </c>
      <c r="C36" s="22" t="inlineStr">
        <is>
          <t>A.35</t>
        </is>
      </c>
      <c r="D36" s="23" t="inlineStr">
        <is>
          <t>Plan de sauvetage en hauteur (récupération victime suspendue &lt; 30 min)</t>
        </is>
      </c>
      <c r="E36" s="24" t="inlineStr">
        <is>
          <t>Art. R.4323-58</t>
        </is>
      </c>
      <c r="F36" s="11" t="n"/>
      <c r="G36" s="11" t="n"/>
      <c r="H36" s="11" t="n"/>
      <c r="I36" s="19" t="n"/>
      <c r="J36" s="19" t="n"/>
      <c r="K36" s="19" t="n"/>
      <c r="L36" s="19" t="n"/>
    </row>
    <row r="37">
      <c r="A37" s="21" t="inlineStr">
        <is>
          <t>A. Hauteur &amp; EPI antichute</t>
        </is>
      </c>
      <c r="B37" s="21" t="inlineStr">
        <is>
          <t>Coordination</t>
        </is>
      </c>
      <c r="C37" s="22" t="inlineStr">
        <is>
          <t>A.36</t>
        </is>
      </c>
      <c r="D37" s="23" t="inlineStr">
        <is>
          <t>Co-activité hauteur avec autres entreprises gérée par PPSPS / Plan prévention</t>
        </is>
      </c>
      <c r="E37" s="24" t="inlineStr">
        <is>
          <t>Art. R.4532-9</t>
        </is>
      </c>
      <c r="F37" s="11" t="n"/>
      <c r="G37" s="11" t="n"/>
      <c r="H37" s="11" t="n"/>
      <c r="I37" s="19" t="n"/>
      <c r="J37" s="19" t="n"/>
      <c r="K37" s="19" t="n"/>
      <c r="L37" s="19" t="n"/>
    </row>
    <row r="38">
      <c r="A38" s="21" t="inlineStr">
        <is>
          <t>A. Hauteur &amp; EPI antichute</t>
        </is>
      </c>
      <c r="B38" s="21" t="inlineStr">
        <is>
          <t>Coordination</t>
        </is>
      </c>
      <c r="C38" s="22" t="inlineStr">
        <is>
          <t>A.37</t>
        </is>
      </c>
      <c r="D38" s="23" t="inlineStr">
        <is>
          <t>Affichage des consignes travail en hauteur sur chaque chantier</t>
        </is>
      </c>
      <c r="E38" s="24" t="inlineStr">
        <is>
          <t>Bonne pratique</t>
        </is>
      </c>
      <c r="F38" s="11" t="n"/>
      <c r="G38" s="11" t="n"/>
      <c r="H38" s="11" t="n"/>
      <c r="I38" s="19" t="n"/>
      <c r="J38" s="19" t="n"/>
      <c r="K38" s="19" t="n"/>
      <c r="L38" s="19" t="n"/>
    </row>
    <row r="39">
      <c r="A39" s="21" t="inlineStr">
        <is>
          <t>A. Hauteur &amp; EPI antichute</t>
        </is>
      </c>
      <c r="B39" s="21" t="inlineStr">
        <is>
          <t>Coordination</t>
        </is>
      </c>
      <c r="C39" s="22" t="inlineStr">
        <is>
          <t>A.38</t>
        </is>
      </c>
      <c r="D39" s="23" t="inlineStr">
        <is>
          <t>Sensibilisation annuelle aux gestes d'urgence en cas de chute</t>
        </is>
      </c>
      <c r="E39" s="24" t="inlineStr">
        <is>
          <t>Art. R.4141-13</t>
        </is>
      </c>
      <c r="F39" s="11" t="n"/>
      <c r="G39" s="11" t="n"/>
      <c r="H39" s="11" t="n"/>
      <c r="I39" s="19" t="n"/>
      <c r="J39" s="19" t="n"/>
      <c r="K39" s="19" t="n"/>
      <c r="L39" s="19" t="n"/>
    </row>
    <row r="40">
      <c r="A40" s="25" t="inlineStr">
        <is>
          <t>B. Électricité &amp; habilitations</t>
        </is>
      </c>
      <c r="B40" s="25" t="inlineStr">
        <is>
          <t>Habilitations</t>
        </is>
      </c>
      <c r="C40" s="26" t="inlineStr">
        <is>
          <t>B.01</t>
        </is>
      </c>
      <c r="D40" s="6" t="inlineStr">
        <is>
          <t>Tableau de bord nominatif des habilitations NF C 18-510 à jour</t>
        </is>
      </c>
      <c r="E40" s="27" t="inlineStr">
        <is>
          <t>NF C 18-510</t>
        </is>
      </c>
      <c r="F40" s="11" t="n"/>
      <c r="G40" s="11" t="n"/>
      <c r="H40" s="11" t="n"/>
      <c r="I40" s="19" t="n"/>
      <c r="J40" s="19" t="n"/>
      <c r="K40" s="19" t="n"/>
      <c r="L40" s="19" t="n"/>
    </row>
    <row r="41">
      <c r="A41" s="25" t="inlineStr">
        <is>
          <t>B. Électricité &amp; habilitations</t>
        </is>
      </c>
      <c r="B41" s="25" t="inlineStr">
        <is>
          <t>Habilitations</t>
        </is>
      </c>
      <c r="C41" s="26" t="inlineStr">
        <is>
          <t>B.02</t>
        </is>
      </c>
      <c r="D41" s="6" t="inlineStr">
        <is>
          <t>B0 (exécutant non électricien) pour personnel d'aide</t>
        </is>
      </c>
      <c r="E41" s="27" t="inlineStr">
        <is>
          <t>NF C 18-510</t>
        </is>
      </c>
      <c r="F41" s="11" t="n"/>
      <c r="G41" s="11" t="n"/>
      <c r="H41" s="11" t="n"/>
      <c r="I41" s="19" t="n"/>
      <c r="J41" s="19" t="n"/>
      <c r="K41" s="19" t="n"/>
      <c r="L41" s="19" t="n"/>
    </row>
    <row r="42">
      <c r="A42" s="25" t="inlineStr">
        <is>
          <t>B. Électricité &amp; habilitations</t>
        </is>
      </c>
      <c r="B42" s="25" t="inlineStr">
        <is>
          <t>Habilitations</t>
        </is>
      </c>
      <c r="C42" s="26" t="inlineStr">
        <is>
          <t>B.03</t>
        </is>
      </c>
      <c r="D42" s="6" t="inlineStr">
        <is>
          <t>B1V (exécutant électricien BT en voisinage) pour techniciens TBT/BT</t>
        </is>
      </c>
      <c r="E42" s="27" t="inlineStr">
        <is>
          <t>NF C 18-510</t>
        </is>
      </c>
      <c r="F42" s="11" t="n"/>
      <c r="G42" s="11" t="n"/>
      <c r="H42" s="11" t="n"/>
      <c r="I42" s="19" t="n"/>
      <c r="J42" s="19" t="n"/>
      <c r="K42" s="19" t="n"/>
      <c r="L42" s="19" t="n"/>
    </row>
    <row r="43">
      <c r="A43" s="25" t="inlineStr">
        <is>
          <t>B. Électricité &amp; habilitations</t>
        </is>
      </c>
      <c r="B43" s="25" t="inlineStr">
        <is>
          <t>Habilitations</t>
        </is>
      </c>
      <c r="C43" s="26" t="inlineStr">
        <is>
          <t>B.04</t>
        </is>
      </c>
      <c r="D43" s="6" t="inlineStr">
        <is>
          <t>B2V (chargé de travaux BT en voisinage) pour interventions complexes</t>
        </is>
      </c>
      <c r="E43" s="27" t="inlineStr">
        <is>
          <t>NF C 18-510</t>
        </is>
      </c>
      <c r="F43" s="11" t="n"/>
      <c r="G43" s="11" t="n"/>
      <c r="H43" s="11" t="n"/>
      <c r="I43" s="19" t="n"/>
      <c r="J43" s="19" t="n"/>
      <c r="K43" s="19" t="n"/>
      <c r="L43" s="19" t="n"/>
    </row>
    <row r="44">
      <c r="A44" s="25" t="inlineStr">
        <is>
          <t>B. Électricité &amp; habilitations</t>
        </is>
      </c>
      <c r="B44" s="25" t="inlineStr">
        <is>
          <t>Habilitations</t>
        </is>
      </c>
      <c r="C44" s="26" t="inlineStr">
        <is>
          <t>B.05</t>
        </is>
      </c>
      <c r="D44" s="6" t="inlineStr">
        <is>
          <t>BR (intervention générale BT) pour techniciens autonomes</t>
        </is>
      </c>
      <c r="E44" s="27" t="inlineStr">
        <is>
          <t>NF C 18-510</t>
        </is>
      </c>
      <c r="F44" s="11" t="n"/>
      <c r="G44" s="11" t="n"/>
      <c r="H44" s="11" t="n"/>
      <c r="I44" s="19" t="n"/>
      <c r="J44" s="19" t="n"/>
      <c r="K44" s="19" t="n"/>
      <c r="L44" s="19" t="n"/>
    </row>
    <row r="45">
      <c r="A45" s="25" t="inlineStr">
        <is>
          <t>B. Électricité &amp; habilitations</t>
        </is>
      </c>
      <c r="B45" s="25" t="inlineStr">
        <is>
          <t>Habilitations</t>
        </is>
      </c>
      <c r="C45" s="26" t="inlineStr">
        <is>
          <t>B.06</t>
        </is>
      </c>
      <c r="D45" s="6" t="inlineStr">
        <is>
          <t>BC (chargé de consignation BT) pour consignation des installations</t>
        </is>
      </c>
      <c r="E45" s="27" t="inlineStr">
        <is>
          <t>NF C 18-510</t>
        </is>
      </c>
      <c r="F45" s="11" t="n"/>
      <c r="G45" s="11" t="n"/>
      <c r="H45" s="11" t="n"/>
      <c r="I45" s="19" t="n"/>
      <c r="J45" s="19" t="n"/>
      <c r="K45" s="19" t="n"/>
      <c r="L45" s="19" t="n"/>
    </row>
    <row r="46">
      <c r="A46" s="25" t="inlineStr">
        <is>
          <t>B. Électricité &amp; habilitations</t>
        </is>
      </c>
      <c r="B46" s="25" t="inlineStr">
        <is>
          <t>Habilitations</t>
        </is>
      </c>
      <c r="C46" s="26" t="inlineStr">
        <is>
          <t>B.07</t>
        </is>
      </c>
      <c r="D46" s="6" t="inlineStr">
        <is>
          <t>BE Essai/Vérification pour techniciens mesures et essais</t>
        </is>
      </c>
      <c r="E46" s="27" t="inlineStr">
        <is>
          <t>NF C 18-510</t>
        </is>
      </c>
      <c r="F46" s="11" t="n"/>
      <c r="G46" s="11" t="n"/>
      <c r="H46" s="11" t="n"/>
      <c r="I46" s="19" t="n"/>
      <c r="J46" s="19" t="n"/>
      <c r="K46" s="19" t="n"/>
      <c r="L46" s="19" t="n"/>
    </row>
    <row r="47">
      <c r="A47" s="25" t="inlineStr">
        <is>
          <t>B. Électricité &amp; habilitations</t>
        </is>
      </c>
      <c r="B47" s="25" t="inlineStr">
        <is>
          <t>Habilitations</t>
        </is>
      </c>
      <c r="C47" s="26" t="inlineStr">
        <is>
          <t>B.08</t>
        </is>
      </c>
      <c r="D47" s="6" t="inlineStr">
        <is>
          <t>H0V (voisinage HT) si interventions HT — sinon non applicable</t>
        </is>
      </c>
      <c r="E47" s="27" t="inlineStr">
        <is>
          <t>NF C 18-510</t>
        </is>
      </c>
      <c r="F47" s="11" t="n"/>
      <c r="G47" s="11" t="n"/>
      <c r="H47" s="11" t="n"/>
      <c r="I47" s="19" t="n"/>
      <c r="J47" s="19" t="n"/>
      <c r="K47" s="19" t="n"/>
      <c r="L47" s="19" t="n"/>
    </row>
    <row r="48">
      <c r="A48" s="25" t="inlineStr">
        <is>
          <t>B. Électricité &amp; habilitations</t>
        </is>
      </c>
      <c r="B48" s="25" t="inlineStr">
        <is>
          <t>Habilitations</t>
        </is>
      </c>
      <c r="C48" s="26" t="inlineStr">
        <is>
          <t>B.09</t>
        </is>
      </c>
      <c r="D48" s="6" t="inlineStr">
        <is>
          <t>Recyclage tous les 3 ans documenté pour chaque salarié</t>
        </is>
      </c>
      <c r="E48" s="27" t="inlineStr">
        <is>
          <t>NF C 18-510 § 5.6</t>
        </is>
      </c>
      <c r="F48" s="11" t="n"/>
      <c r="G48" s="11" t="n"/>
      <c r="H48" s="11" t="n"/>
      <c r="I48" s="19" t="n"/>
      <c r="J48" s="19" t="n"/>
      <c r="K48" s="19" t="n"/>
      <c r="L48" s="19" t="n"/>
    </row>
    <row r="49">
      <c r="A49" s="25" t="inlineStr">
        <is>
          <t>B. Électricité &amp; habilitations</t>
        </is>
      </c>
      <c r="B49" s="25" t="inlineStr">
        <is>
          <t>Habilitations</t>
        </is>
      </c>
      <c r="C49" s="26" t="inlineStr">
        <is>
          <t>B.10</t>
        </is>
      </c>
      <c r="D49" s="6" t="inlineStr">
        <is>
          <t>Avis médical d'aptitude préalable à toute habilitation</t>
        </is>
      </c>
      <c r="E49" s="27" t="inlineStr">
        <is>
          <t>Art. R.4624-23</t>
        </is>
      </c>
      <c r="F49" s="11" t="n"/>
      <c r="G49" s="11" t="n"/>
      <c r="H49" s="11" t="n"/>
      <c r="I49" s="19" t="n"/>
      <c r="J49" s="19" t="n"/>
      <c r="K49" s="19" t="n"/>
      <c r="L49" s="19" t="n"/>
    </row>
    <row r="50">
      <c r="A50" s="25" t="inlineStr">
        <is>
          <t>B. Électricité &amp; habilitations</t>
        </is>
      </c>
      <c r="B50" s="25" t="inlineStr">
        <is>
          <t>Habilitations</t>
        </is>
      </c>
      <c r="C50" s="26" t="inlineStr">
        <is>
          <t>B.11</t>
        </is>
      </c>
      <c r="D50" s="6" t="inlineStr">
        <is>
          <t>Titre d'habilitation signé et remis nominativement</t>
        </is>
      </c>
      <c r="E50" s="27" t="inlineStr">
        <is>
          <t>Art. R.4544-10</t>
        </is>
      </c>
      <c r="F50" s="11" t="n"/>
      <c r="G50" s="11" t="n"/>
      <c r="H50" s="11" t="n"/>
      <c r="I50" s="19" t="n"/>
      <c r="J50" s="19" t="n"/>
      <c r="K50" s="19" t="n"/>
      <c r="L50" s="19" t="n"/>
    </row>
    <row r="51">
      <c r="A51" s="25" t="inlineStr">
        <is>
          <t>B. Électricité &amp; habilitations</t>
        </is>
      </c>
      <c r="B51" s="25" t="inlineStr">
        <is>
          <t>Habilitations</t>
        </is>
      </c>
      <c r="C51" s="26" t="inlineStr">
        <is>
          <t>B.12</t>
        </is>
      </c>
      <c r="D51" s="6" t="inlineStr">
        <is>
          <t>Carnet de prescriptions à jour remis à chaque salarié habilité</t>
        </is>
      </c>
      <c r="E51" s="27" t="inlineStr">
        <is>
          <t>Art. R.4544-9</t>
        </is>
      </c>
      <c r="F51" s="11" t="n"/>
      <c r="G51" s="11" t="n"/>
      <c r="H51" s="11" t="n"/>
      <c r="I51" s="19" t="n"/>
      <c r="J51" s="19" t="n"/>
      <c r="K51" s="19" t="n"/>
      <c r="L51" s="19" t="n"/>
    </row>
    <row r="52">
      <c r="A52" s="25" t="inlineStr">
        <is>
          <t>B. Électricité &amp; habilitations</t>
        </is>
      </c>
      <c r="B52" s="25" t="inlineStr">
        <is>
          <t>EPI électrique</t>
        </is>
      </c>
      <c r="C52" s="26" t="inlineStr">
        <is>
          <t>B.13</t>
        </is>
      </c>
      <c r="D52" s="6" t="inlineStr">
        <is>
          <t>Gants isolants classe 0 ou 00 — date essai diélectrique 6 mois</t>
        </is>
      </c>
      <c r="E52" s="27" t="inlineStr">
        <is>
          <t>NF EN 60903</t>
        </is>
      </c>
      <c r="F52" s="11" t="n"/>
      <c r="G52" s="11" t="n"/>
      <c r="H52" s="11" t="n"/>
      <c r="I52" s="19" t="n"/>
      <c r="J52" s="19" t="n"/>
      <c r="K52" s="19" t="n"/>
      <c r="L52" s="19" t="n"/>
    </row>
    <row r="53">
      <c r="A53" s="25" t="inlineStr">
        <is>
          <t>B. Électricité &amp; habilitations</t>
        </is>
      </c>
      <c r="B53" s="25" t="inlineStr">
        <is>
          <t>EPI électrique</t>
        </is>
      </c>
      <c r="C53" s="26" t="inlineStr">
        <is>
          <t>B.14</t>
        </is>
      </c>
      <c r="D53" s="6" t="inlineStr">
        <is>
          <t>Casque isolant avec écran facial anti-arc électrique</t>
        </is>
      </c>
      <c r="E53" s="27" t="inlineStr">
        <is>
          <t>NF EN 50365</t>
        </is>
      </c>
      <c r="F53" s="11" t="n"/>
      <c r="G53" s="11" t="n"/>
      <c r="H53" s="11" t="n"/>
      <c r="I53" s="19" t="n"/>
      <c r="J53" s="19" t="n"/>
      <c r="K53" s="19" t="n"/>
      <c r="L53" s="19" t="n"/>
    </row>
    <row r="54">
      <c r="A54" s="25" t="inlineStr">
        <is>
          <t>B. Électricité &amp; habilitations</t>
        </is>
      </c>
      <c r="B54" s="25" t="inlineStr">
        <is>
          <t>EPI électrique</t>
        </is>
      </c>
      <c r="C54" s="26" t="inlineStr">
        <is>
          <t>B.15</t>
        </is>
      </c>
      <c r="D54" s="6" t="inlineStr">
        <is>
          <t>Tapis isolant 1000 V (1 m × 1 m) sous tableau si zone humide</t>
        </is>
      </c>
      <c r="E54" s="27" t="inlineStr">
        <is>
          <t>NF EN 61111</t>
        </is>
      </c>
      <c r="F54" s="11" t="n"/>
      <c r="G54" s="11" t="n"/>
      <c r="H54" s="11" t="n"/>
      <c r="I54" s="19" t="n"/>
      <c r="J54" s="19" t="n"/>
      <c r="K54" s="19" t="n"/>
      <c r="L54" s="19" t="n"/>
    </row>
    <row r="55">
      <c r="A55" s="25" t="inlineStr">
        <is>
          <t>B. Électricité &amp; habilitations</t>
        </is>
      </c>
      <c r="B55" s="25" t="inlineStr">
        <is>
          <t>EPI électrique</t>
        </is>
      </c>
      <c r="C55" s="26" t="inlineStr">
        <is>
          <t>B.16</t>
        </is>
      </c>
      <c r="D55" s="6" t="inlineStr">
        <is>
          <t>Vêtements de protection arc électrique (vêt. anti-arc)</t>
        </is>
      </c>
      <c r="E55" s="27" t="inlineStr">
        <is>
          <t>NF EN 61482-1-2</t>
        </is>
      </c>
      <c r="F55" s="11" t="n"/>
      <c r="G55" s="11" t="n"/>
      <c r="H55" s="11" t="n"/>
      <c r="I55" s="19" t="n"/>
      <c r="J55" s="19" t="n"/>
      <c r="K55" s="19" t="n"/>
      <c r="L55" s="19" t="n"/>
    </row>
    <row r="56">
      <c r="A56" s="25" t="inlineStr">
        <is>
          <t>B. Électricité &amp; habilitations</t>
        </is>
      </c>
      <c r="B56" s="25" t="inlineStr">
        <is>
          <t>EPI électrique</t>
        </is>
      </c>
      <c r="C56" s="26" t="inlineStr">
        <is>
          <t>B.17</t>
        </is>
      </c>
      <c r="D56" s="6" t="inlineStr">
        <is>
          <t>Chaussures de sécurité isolantes S3 SRC</t>
        </is>
      </c>
      <c r="E56" s="27" t="inlineStr">
        <is>
          <t>NF EN ISO 20345</t>
        </is>
      </c>
      <c r="F56" s="11" t="n"/>
      <c r="G56" s="11" t="n"/>
      <c r="H56" s="11" t="n"/>
      <c r="I56" s="19" t="n"/>
      <c r="J56" s="19" t="n"/>
      <c r="K56" s="19" t="n"/>
      <c r="L56" s="19" t="n"/>
    </row>
    <row r="57">
      <c r="A57" s="25" t="inlineStr">
        <is>
          <t>B. Électricité &amp; habilitations</t>
        </is>
      </c>
      <c r="B57" s="25" t="inlineStr">
        <is>
          <t>EPI électrique</t>
        </is>
      </c>
      <c r="C57" s="26" t="inlineStr">
        <is>
          <t>B.18</t>
        </is>
      </c>
      <c r="D57" s="6" t="inlineStr">
        <is>
          <t>VAT (vérificateur d'absence de tension) avant chaque intervention</t>
        </is>
      </c>
      <c r="E57" s="27" t="inlineStr">
        <is>
          <t>NF C 18-510</t>
        </is>
      </c>
      <c r="F57" s="11" t="n"/>
      <c r="G57" s="11" t="n"/>
      <c r="H57" s="11" t="n"/>
      <c r="I57" s="19" t="n"/>
      <c r="J57" s="19" t="n"/>
      <c r="K57" s="19" t="n"/>
      <c r="L57" s="19" t="n"/>
    </row>
    <row r="58">
      <c r="A58" s="25" t="inlineStr">
        <is>
          <t>B. Électricité &amp; habilitations</t>
        </is>
      </c>
      <c r="B58" s="25" t="inlineStr">
        <is>
          <t>EPI électrique</t>
        </is>
      </c>
      <c r="C58" s="26" t="inlineStr">
        <is>
          <t>B.19</t>
        </is>
      </c>
      <c r="D58" s="6" t="inlineStr">
        <is>
          <t>Perches isolantes adaptées à la classe de tension</t>
        </is>
      </c>
      <c r="E58" s="27" t="inlineStr">
        <is>
          <t>NF EN 61235</t>
        </is>
      </c>
      <c r="F58" s="11" t="n"/>
      <c r="G58" s="11" t="n"/>
      <c r="H58" s="11" t="n"/>
      <c r="I58" s="19" t="n"/>
      <c r="J58" s="19" t="n"/>
      <c r="K58" s="19" t="n"/>
      <c r="L58" s="19" t="n"/>
    </row>
    <row r="59">
      <c r="A59" s="25" t="inlineStr">
        <is>
          <t>B. Électricité &amp; habilitations</t>
        </is>
      </c>
      <c r="B59" s="25" t="inlineStr">
        <is>
          <t>Outillage</t>
        </is>
      </c>
      <c r="C59" s="26" t="inlineStr">
        <is>
          <t>B.20</t>
        </is>
      </c>
      <c r="D59" s="6" t="inlineStr">
        <is>
          <t>Outils isolés 1000 V certifiés pour interventions sous tension</t>
        </is>
      </c>
      <c r="E59" s="27" t="inlineStr">
        <is>
          <t>IEC 60900</t>
        </is>
      </c>
      <c r="F59" s="11" t="n"/>
      <c r="G59" s="11" t="n"/>
      <c r="H59" s="11" t="n"/>
      <c r="I59" s="19" t="n"/>
      <c r="J59" s="19" t="n"/>
      <c r="K59" s="19" t="n"/>
      <c r="L59" s="19" t="n"/>
    </row>
    <row r="60">
      <c r="A60" s="25" t="inlineStr">
        <is>
          <t>B. Électricité &amp; habilitations</t>
        </is>
      </c>
      <c r="B60" s="25" t="inlineStr">
        <is>
          <t>Procédures</t>
        </is>
      </c>
      <c r="C60" s="26" t="inlineStr">
        <is>
          <t>B.21</t>
        </is>
      </c>
      <c r="D60" s="6" t="inlineStr">
        <is>
          <t>Procédure de consignation/déconsignation formalisée (séparation, condamnation, identification, VAT, MALT)</t>
        </is>
      </c>
      <c r="E60" s="27" t="inlineStr">
        <is>
          <t>NF C 18-510 § 7</t>
        </is>
      </c>
      <c r="F60" s="11" t="n"/>
      <c r="G60" s="11" t="n"/>
      <c r="H60" s="11" t="n"/>
      <c r="I60" s="19" t="n"/>
      <c r="J60" s="19" t="n"/>
      <c r="K60" s="19" t="n"/>
      <c r="L60" s="19" t="n"/>
    </row>
    <row r="61">
      <c r="A61" s="25" t="inlineStr">
        <is>
          <t>B. Électricité &amp; habilitations</t>
        </is>
      </c>
      <c r="B61" s="25" t="inlineStr">
        <is>
          <t>Procédures</t>
        </is>
      </c>
      <c r="C61" s="26" t="inlineStr">
        <is>
          <t>B.22</t>
        </is>
      </c>
      <c r="D61" s="6" t="inlineStr">
        <is>
          <t>Mise à la terre (MALT) systématique avant intervention BT/HT</t>
        </is>
      </c>
      <c r="E61" s="27" t="inlineStr">
        <is>
          <t>NF C 18-510</t>
        </is>
      </c>
      <c r="F61" s="11" t="n"/>
      <c r="G61" s="11" t="n"/>
      <c r="H61" s="11" t="n"/>
      <c r="I61" s="19" t="n"/>
      <c r="J61" s="19" t="n"/>
      <c r="K61" s="19" t="n"/>
      <c r="L61" s="19" t="n"/>
    </row>
    <row r="62">
      <c r="A62" s="25" t="inlineStr">
        <is>
          <t>B. Électricité &amp; habilitations</t>
        </is>
      </c>
      <c r="B62" s="25" t="inlineStr">
        <is>
          <t>Procédures</t>
        </is>
      </c>
      <c r="C62" s="26" t="inlineStr">
        <is>
          <t>B.23</t>
        </is>
      </c>
      <c r="D62" s="6" t="inlineStr">
        <is>
          <t>Affichage des consignes de premiers secours électrisation</t>
        </is>
      </c>
      <c r="E62" s="27" t="inlineStr">
        <is>
          <t>Art. R.4224-15</t>
        </is>
      </c>
      <c r="F62" s="11" t="n"/>
      <c r="G62" s="11" t="n"/>
      <c r="H62" s="11" t="n"/>
      <c r="I62" s="19" t="n"/>
      <c r="J62" s="19" t="n"/>
      <c r="K62" s="19" t="n"/>
      <c r="L62" s="19" t="n"/>
    </row>
    <row r="63">
      <c r="A63" s="25" t="inlineStr">
        <is>
          <t>B. Électricité &amp; habilitations</t>
        </is>
      </c>
      <c r="B63" s="25" t="inlineStr">
        <is>
          <t>Vérifications</t>
        </is>
      </c>
      <c r="C63" s="26" t="inlineStr">
        <is>
          <t>B.24</t>
        </is>
      </c>
      <c r="D63" s="6" t="inlineStr">
        <is>
          <t>Q18 — Contrôle annuel installations électriques par organisme agréé</t>
        </is>
      </c>
      <c r="E63" s="27" t="inlineStr">
        <is>
          <t>Décret 88-1056</t>
        </is>
      </c>
      <c r="F63" s="11" t="n"/>
      <c r="G63" s="11" t="n"/>
      <c r="H63" s="11" t="n"/>
      <c r="I63" s="19" t="n"/>
      <c r="J63" s="19" t="n"/>
      <c r="K63" s="19" t="n"/>
      <c r="L63" s="19" t="n"/>
    </row>
    <row r="64">
      <c r="A64" s="25" t="inlineStr">
        <is>
          <t>B. Électricité &amp; habilitations</t>
        </is>
      </c>
      <c r="B64" s="25" t="inlineStr">
        <is>
          <t>Vérifications</t>
        </is>
      </c>
      <c r="C64" s="26" t="inlineStr">
        <is>
          <t>B.25</t>
        </is>
      </c>
      <c r="D64" s="6" t="inlineStr">
        <is>
          <t>Levée des observations Q18 dans les 3 mois suivant le rapport</t>
        </is>
      </c>
      <c r="E64" s="27" t="inlineStr">
        <is>
          <t>Art. R.4226-4</t>
        </is>
      </c>
      <c r="F64" s="11" t="n"/>
      <c r="G64" s="11" t="n"/>
      <c r="H64" s="11" t="n"/>
      <c r="I64" s="19" t="n"/>
      <c r="J64" s="19" t="n"/>
      <c r="K64" s="19" t="n"/>
      <c r="L64" s="19" t="n"/>
    </row>
    <row r="65">
      <c r="A65" s="25" t="inlineStr">
        <is>
          <t>B. Électricité &amp; habilitations</t>
        </is>
      </c>
      <c r="B65" s="25" t="inlineStr">
        <is>
          <t>Vérifications</t>
        </is>
      </c>
      <c r="C65" s="26" t="inlineStr">
        <is>
          <t>B.26</t>
        </is>
      </c>
      <c r="D65" s="6" t="inlineStr">
        <is>
          <t>Vérification initiale lors de mise en service installation</t>
        </is>
      </c>
      <c r="E65" s="27" t="inlineStr">
        <is>
          <t>Art. R.4226-14</t>
        </is>
      </c>
      <c r="F65" s="11" t="n"/>
      <c r="G65" s="11" t="n"/>
      <c r="H65" s="11" t="n"/>
      <c r="I65" s="19" t="n"/>
      <c r="J65" s="19" t="n"/>
      <c r="K65" s="19" t="n"/>
      <c r="L65" s="19" t="n"/>
    </row>
    <row r="66">
      <c r="A66" s="25" t="inlineStr">
        <is>
          <t>B. Électricité &amp; habilitations</t>
        </is>
      </c>
      <c r="B66" s="25" t="inlineStr">
        <is>
          <t>Installations</t>
        </is>
      </c>
      <c r="C66" s="26" t="inlineStr">
        <is>
          <t>B.27</t>
        </is>
      </c>
      <c r="D66" s="6" t="inlineStr">
        <is>
          <t>Coupure d'urgence accessible et signalée</t>
        </is>
      </c>
      <c r="E66" s="27" t="inlineStr">
        <is>
          <t>Art. R.4226-5</t>
        </is>
      </c>
      <c r="F66" s="11" t="n"/>
      <c r="G66" s="11" t="n"/>
      <c r="H66" s="11" t="n"/>
      <c r="I66" s="19" t="n"/>
      <c r="J66" s="19" t="n"/>
      <c r="K66" s="19" t="n"/>
      <c r="L66" s="19" t="n"/>
    </row>
    <row r="67">
      <c r="A67" s="25" t="inlineStr">
        <is>
          <t>B. Électricité &amp; habilitations</t>
        </is>
      </c>
      <c r="B67" s="25" t="inlineStr">
        <is>
          <t>Installations</t>
        </is>
      </c>
      <c r="C67" s="26" t="inlineStr">
        <is>
          <t>B.28</t>
        </is>
      </c>
      <c r="D67" s="6" t="inlineStr">
        <is>
          <t>Protection différentielle 30 mA sur prises &lt; 32 A</t>
        </is>
      </c>
      <c r="E67" s="27" t="inlineStr">
        <is>
          <t>NF C 15-100</t>
        </is>
      </c>
      <c r="F67" s="11" t="n"/>
      <c r="G67" s="11" t="n"/>
      <c r="H67" s="11" t="n"/>
      <c r="I67" s="19" t="n"/>
      <c r="J67" s="19" t="n"/>
      <c r="K67" s="19" t="n"/>
      <c r="L67" s="19" t="n"/>
    </row>
    <row r="68">
      <c r="A68" s="25" t="inlineStr">
        <is>
          <t>B. Électricité &amp; habilitations</t>
        </is>
      </c>
      <c r="B68" s="25" t="inlineStr">
        <is>
          <t>Installations</t>
        </is>
      </c>
      <c r="C68" s="26" t="inlineStr">
        <is>
          <t>B.29</t>
        </is>
      </c>
      <c r="D68" s="6" t="inlineStr">
        <is>
          <t>Schéma électrique unifilaire à jour</t>
        </is>
      </c>
      <c r="E68" s="27" t="inlineStr">
        <is>
          <t>NF C 15-100</t>
        </is>
      </c>
      <c r="F68" s="11" t="n"/>
      <c r="G68" s="11" t="n"/>
      <c r="H68" s="11" t="n"/>
      <c r="I68" s="19" t="n"/>
      <c r="J68" s="19" t="n"/>
      <c r="K68" s="19" t="n"/>
      <c r="L68" s="19" t="n"/>
    </row>
    <row r="69">
      <c r="A69" s="25" t="inlineStr">
        <is>
          <t>B. Électricité &amp; habilitations</t>
        </is>
      </c>
      <c r="B69" s="25" t="inlineStr">
        <is>
          <t>Installations</t>
        </is>
      </c>
      <c r="C69" s="26" t="inlineStr">
        <is>
          <t>B.30</t>
        </is>
      </c>
      <c r="D69" s="6" t="inlineStr">
        <is>
          <t>Étiquetage des armoires électriques et des départs</t>
        </is>
      </c>
      <c r="E69" s="27" t="inlineStr">
        <is>
          <t>NF C 15-100</t>
        </is>
      </c>
      <c r="F69" s="11" t="n"/>
      <c r="G69" s="11" t="n"/>
      <c r="H69" s="11" t="n"/>
      <c r="I69" s="19" t="n"/>
      <c r="J69" s="19" t="n"/>
      <c r="K69" s="19" t="n"/>
      <c r="L69" s="19" t="n"/>
    </row>
    <row r="70">
      <c r="A70" s="25" t="inlineStr">
        <is>
          <t>B. Électricité &amp; habilitations</t>
        </is>
      </c>
      <c r="B70" s="25" t="inlineStr">
        <is>
          <t>TBT - SSI</t>
        </is>
      </c>
      <c r="C70" s="26" t="inlineStr">
        <is>
          <t>B.31</t>
        </is>
      </c>
      <c r="D70" s="6" t="inlineStr">
        <is>
          <t>Repérage et étiquetage des câbles SSI (boucles, détecteurs)</t>
        </is>
      </c>
      <c r="E70" s="27" t="inlineStr">
        <is>
          <t>NF S 61-932</t>
        </is>
      </c>
      <c r="F70" s="11" t="n"/>
      <c r="G70" s="11" t="n"/>
      <c r="H70" s="11" t="n"/>
      <c r="I70" s="19" t="n"/>
      <c r="J70" s="19" t="n"/>
      <c r="K70" s="19" t="n"/>
      <c r="L70" s="19" t="n"/>
    </row>
    <row r="71">
      <c r="A71" s="25" t="inlineStr">
        <is>
          <t>B. Électricité &amp; habilitations</t>
        </is>
      </c>
      <c r="B71" s="25" t="inlineStr">
        <is>
          <t>TBT - SSI</t>
        </is>
      </c>
      <c r="C71" s="26" t="inlineStr">
        <is>
          <t>B.32</t>
        </is>
      </c>
      <c r="D71" s="6" t="inlineStr">
        <is>
          <t>Qualification spécifique installateur SSI (NF S 61-932) par catégorie A à E</t>
        </is>
      </c>
      <c r="E71" s="27" t="inlineStr">
        <is>
          <t>NF S 61-932</t>
        </is>
      </c>
      <c r="F71" s="11" t="n"/>
      <c r="G71" s="11" t="n"/>
      <c r="H71" s="11" t="n"/>
      <c r="I71" s="19" t="n"/>
      <c r="J71" s="19" t="n"/>
      <c r="K71" s="19" t="n"/>
      <c r="L71" s="19" t="n"/>
    </row>
    <row r="72">
      <c r="A72" s="25" t="inlineStr">
        <is>
          <t>B. Électricité &amp; habilitations</t>
        </is>
      </c>
      <c r="B72" s="25" t="inlineStr">
        <is>
          <t>TBT - SSI</t>
        </is>
      </c>
      <c r="C72" s="26" t="inlineStr">
        <is>
          <t>B.33</t>
        </is>
      </c>
      <c r="D72" s="6" t="inlineStr">
        <is>
          <t>Mise hors-tension préalable des zones avant intervention</t>
        </is>
      </c>
      <c r="E72" s="27" t="inlineStr">
        <is>
          <t>NF C 18-510</t>
        </is>
      </c>
      <c r="F72" s="11" t="n"/>
      <c r="G72" s="11" t="n"/>
      <c r="H72" s="11" t="n"/>
      <c r="I72" s="19" t="n"/>
      <c r="J72" s="19" t="n"/>
      <c r="K72" s="19" t="n"/>
      <c r="L72" s="19" t="n"/>
    </row>
    <row r="73">
      <c r="A73" s="25" t="inlineStr">
        <is>
          <t>B. Électricité &amp; habilitations</t>
        </is>
      </c>
      <c r="B73" s="25" t="inlineStr">
        <is>
          <t>Sous-traitance</t>
        </is>
      </c>
      <c r="C73" s="26" t="inlineStr">
        <is>
          <t>B.34</t>
        </is>
      </c>
      <c r="D73" s="6" t="inlineStr">
        <is>
          <t>Sous-traitants électriciens — copie habilitations exigée avant intervention</t>
        </is>
      </c>
      <c r="E73" s="27" t="inlineStr">
        <is>
          <t>Art. R.4512-6</t>
        </is>
      </c>
      <c r="F73" s="11" t="n"/>
      <c r="G73" s="11" t="n"/>
      <c r="H73" s="11" t="n"/>
      <c r="I73" s="19" t="n"/>
      <c r="J73" s="19" t="n"/>
      <c r="K73" s="19" t="n"/>
      <c r="L73" s="19" t="n"/>
    </row>
    <row r="74">
      <c r="A74" s="25" t="inlineStr">
        <is>
          <t>B. Électricité &amp; habilitations</t>
        </is>
      </c>
      <c r="B74" s="25" t="inlineStr">
        <is>
          <t>Sous-traitance</t>
        </is>
      </c>
      <c r="C74" s="26" t="inlineStr">
        <is>
          <t>B.35</t>
        </is>
      </c>
      <c r="D74" s="6" t="inlineStr">
        <is>
          <t>Plan de prévention électrique signé pour interventions &gt; 400 h ou TD</t>
        </is>
      </c>
      <c r="E74" s="27" t="inlineStr">
        <is>
          <t>Art. R.4512-7</t>
        </is>
      </c>
      <c r="F74" s="11" t="n"/>
      <c r="G74" s="11" t="n"/>
      <c r="H74" s="11" t="n"/>
      <c r="I74" s="19" t="n"/>
      <c r="J74" s="19" t="n"/>
      <c r="K74" s="19" t="n"/>
      <c r="L74" s="19" t="n"/>
    </row>
    <row r="75">
      <c r="A75" s="21" t="inlineStr">
        <is>
          <t>C. Incendie &amp; explosion</t>
        </is>
      </c>
      <c r="B75" s="21" t="inlineStr">
        <is>
          <t>Permis de feu</t>
        </is>
      </c>
      <c r="C75" s="22" t="inlineStr">
        <is>
          <t>C.01</t>
        </is>
      </c>
      <c r="D75" s="23" t="inlineStr">
        <is>
          <t>Permis de feu IM2S → client pour tout point chaud sur chantier</t>
        </is>
      </c>
      <c r="E75" s="24" t="inlineStr">
        <is>
          <t>APSAD D9</t>
        </is>
      </c>
      <c r="F75" s="11" t="n"/>
      <c r="G75" s="11" t="n"/>
      <c r="H75" s="11" t="n"/>
      <c r="I75" s="19" t="n"/>
      <c r="J75" s="19" t="n"/>
      <c r="K75" s="19" t="n"/>
      <c r="L75" s="19" t="n"/>
    </row>
    <row r="76">
      <c r="A76" s="21" t="inlineStr">
        <is>
          <t>C. Incendie &amp; explosion</t>
        </is>
      </c>
      <c r="B76" s="21" t="inlineStr">
        <is>
          <t>Permis de feu</t>
        </is>
      </c>
      <c r="C76" s="22" t="inlineStr">
        <is>
          <t>C.02</t>
        </is>
      </c>
      <c r="D76" s="23" t="inlineStr">
        <is>
          <t>Permis de feu IM2S → IM2S pour travaux propres (perçage, meulage)</t>
        </is>
      </c>
      <c r="E76" s="24" t="inlineStr">
        <is>
          <t>APSAD D9</t>
        </is>
      </c>
      <c r="F76" s="11" t="n"/>
      <c r="G76" s="11" t="n"/>
      <c r="H76" s="11" t="n"/>
      <c r="I76" s="19" t="n"/>
      <c r="J76" s="19" t="n"/>
      <c r="K76" s="19" t="n"/>
      <c r="L76" s="19" t="n"/>
    </row>
    <row r="77">
      <c r="A77" s="21" t="inlineStr">
        <is>
          <t>C. Incendie &amp; explosion</t>
        </is>
      </c>
      <c r="B77" s="21" t="inlineStr">
        <is>
          <t>Permis de feu</t>
        </is>
      </c>
      <c r="C77" s="22" t="inlineStr">
        <is>
          <t>C.03</t>
        </is>
      </c>
      <c r="D77" s="23" t="inlineStr">
        <is>
          <t>Modèle APSAD D9 utilisé systématiquement</t>
        </is>
      </c>
      <c r="E77" s="24" t="inlineStr">
        <is>
          <t>APSAD D9</t>
        </is>
      </c>
      <c r="F77" s="11" t="n"/>
      <c r="G77" s="11" t="n"/>
      <c r="H77" s="11" t="n"/>
      <c r="I77" s="19" t="n"/>
      <c r="J77" s="19" t="n"/>
      <c r="K77" s="19" t="n"/>
      <c r="L77" s="19" t="n"/>
    </row>
    <row r="78">
      <c r="A78" s="21" t="inlineStr">
        <is>
          <t>C. Incendie &amp; explosion</t>
        </is>
      </c>
      <c r="B78" s="21" t="inlineStr">
        <is>
          <t>Permis de feu</t>
        </is>
      </c>
      <c r="C78" s="22" t="inlineStr">
        <is>
          <t>C.04</t>
        </is>
      </c>
      <c r="D78" s="23" t="inlineStr">
        <is>
          <t>Surveillance après-travaux 2 heures (gardien thermique)</t>
        </is>
      </c>
      <c r="E78" s="24" t="inlineStr">
        <is>
          <t>APSAD D9</t>
        </is>
      </c>
      <c r="F78" s="11" t="n"/>
      <c r="G78" s="11" t="n"/>
      <c r="H78" s="11" t="n"/>
      <c r="I78" s="19" t="n"/>
      <c r="J78" s="19" t="n"/>
      <c r="K78" s="19" t="n"/>
      <c r="L78" s="19" t="n"/>
    </row>
    <row r="79">
      <c r="A79" s="21" t="inlineStr">
        <is>
          <t>C. Incendie &amp; explosion</t>
        </is>
      </c>
      <c r="B79" s="21" t="inlineStr">
        <is>
          <t>Permis de feu</t>
        </is>
      </c>
      <c r="C79" s="22" t="inlineStr">
        <is>
          <t>C.05</t>
        </is>
      </c>
      <c r="D79" s="23" t="inlineStr">
        <is>
          <t>Extincteur eau pulvérisée 6 L sur poste de travail</t>
        </is>
      </c>
      <c r="E79" s="24" t="inlineStr">
        <is>
          <t>Art. R.4227-29</t>
        </is>
      </c>
      <c r="F79" s="11" t="n"/>
      <c r="G79" s="11" t="n"/>
      <c r="H79" s="11" t="n"/>
      <c r="I79" s="19" t="n"/>
      <c r="J79" s="19" t="n"/>
      <c r="K79" s="19" t="n"/>
      <c r="L79" s="19" t="n"/>
    </row>
    <row r="80">
      <c r="A80" s="21" t="inlineStr">
        <is>
          <t>C. Incendie &amp; explosion</t>
        </is>
      </c>
      <c r="B80" s="21" t="inlineStr">
        <is>
          <t>Permis de feu</t>
        </is>
      </c>
      <c r="C80" s="22" t="inlineStr">
        <is>
          <t>C.06</t>
        </is>
      </c>
      <c r="D80" s="23" t="inlineStr">
        <is>
          <t>Couverture anti-feu sur poste de soudure / meulage</t>
        </is>
      </c>
      <c r="E80" s="24" t="inlineStr">
        <is>
          <t>Bonne pratique</t>
        </is>
      </c>
      <c r="F80" s="11" t="n"/>
      <c r="G80" s="11" t="n"/>
      <c r="H80" s="11" t="n"/>
      <c r="I80" s="19" t="n"/>
      <c r="J80" s="19" t="n"/>
      <c r="K80" s="19" t="n"/>
      <c r="L80" s="19" t="n"/>
    </row>
    <row r="81">
      <c r="A81" s="21" t="inlineStr">
        <is>
          <t>C. Incendie &amp; explosion</t>
        </is>
      </c>
      <c r="B81" s="21" t="inlineStr">
        <is>
          <t>Permis de feu</t>
        </is>
      </c>
      <c r="C81" s="22" t="inlineStr">
        <is>
          <t>C.07</t>
        </is>
      </c>
      <c r="D81" s="23" t="inlineStr">
        <is>
          <t>Distance de sécurité 10 m vs matières combustibles</t>
        </is>
      </c>
      <c r="E81" s="24" t="inlineStr">
        <is>
          <t>APSAD D9</t>
        </is>
      </c>
      <c r="F81" s="11" t="n"/>
      <c r="G81" s="11" t="n"/>
      <c r="H81" s="11" t="n"/>
      <c r="I81" s="19" t="n"/>
      <c r="J81" s="19" t="n"/>
      <c r="K81" s="19" t="n"/>
      <c r="L81" s="19" t="n"/>
    </row>
    <row r="82">
      <c r="A82" s="21" t="inlineStr">
        <is>
          <t>C. Incendie &amp; explosion</t>
        </is>
      </c>
      <c r="B82" s="21" t="inlineStr">
        <is>
          <t>Permis de feu</t>
        </is>
      </c>
      <c r="C82" s="22" t="inlineStr">
        <is>
          <t>C.08</t>
        </is>
      </c>
      <c r="D82" s="23" t="inlineStr">
        <is>
          <t>Mise hors-tension préalable des zones concernées</t>
        </is>
      </c>
      <c r="E82" s="24" t="inlineStr">
        <is>
          <t>NF C 18-510</t>
        </is>
      </c>
      <c r="F82" s="11" t="n"/>
      <c r="G82" s="11" t="n"/>
      <c r="H82" s="11" t="n"/>
      <c r="I82" s="19" t="n"/>
      <c r="J82" s="19" t="n"/>
      <c r="K82" s="19" t="n"/>
      <c r="L82" s="19" t="n"/>
    </row>
    <row r="83">
      <c r="A83" s="21" t="inlineStr">
        <is>
          <t>C. Incendie &amp; explosion</t>
        </is>
      </c>
      <c r="B83" s="21" t="inlineStr">
        <is>
          <t>Locaux IM2S</t>
        </is>
      </c>
      <c r="C83" s="22" t="inlineStr">
        <is>
          <t>C.09</t>
        </is>
      </c>
      <c r="D83" s="23" t="inlineStr">
        <is>
          <t>Plan d'évacuation affiché à chaque niveau</t>
        </is>
      </c>
      <c r="E83" s="24" t="inlineStr">
        <is>
          <t>Art. R.4227-1</t>
        </is>
      </c>
      <c r="F83" s="11" t="n"/>
      <c r="G83" s="11" t="n"/>
      <c r="H83" s="11" t="n"/>
      <c r="I83" s="19" t="n"/>
      <c r="J83" s="19" t="n"/>
      <c r="K83" s="19" t="n"/>
      <c r="L83" s="19" t="n"/>
    </row>
    <row r="84">
      <c r="A84" s="21" t="inlineStr">
        <is>
          <t>C. Incendie &amp; explosion</t>
        </is>
      </c>
      <c r="B84" s="21" t="inlineStr">
        <is>
          <t>Locaux IM2S</t>
        </is>
      </c>
      <c r="C84" s="22" t="inlineStr">
        <is>
          <t>C.10</t>
        </is>
      </c>
      <c r="D84" s="23" t="inlineStr">
        <is>
          <t>Balisage des itinéraires d'évacuation conforme</t>
        </is>
      </c>
      <c r="E84" s="24" t="inlineStr">
        <is>
          <t>Art. R.4227-13</t>
        </is>
      </c>
      <c r="F84" s="11" t="n"/>
      <c r="G84" s="11" t="n"/>
      <c r="H84" s="11" t="n"/>
      <c r="I84" s="19" t="n"/>
      <c r="J84" s="19" t="n"/>
      <c r="K84" s="19" t="n"/>
      <c r="L84" s="19" t="n"/>
    </row>
    <row r="85">
      <c r="A85" s="21" t="inlineStr">
        <is>
          <t>C. Incendie &amp; explosion</t>
        </is>
      </c>
      <c r="B85" s="21" t="inlineStr">
        <is>
          <t>Locaux IM2S</t>
        </is>
      </c>
      <c r="C85" s="22" t="inlineStr">
        <is>
          <t>C.11</t>
        </is>
      </c>
      <c r="D85" s="23" t="inlineStr">
        <is>
          <t>Éclairage de sécurité (BAES) — test mensuel + autonomie 6 mois</t>
        </is>
      </c>
      <c r="E85" s="24" t="inlineStr">
        <is>
          <t>NF C 15-100</t>
        </is>
      </c>
      <c r="F85" s="11" t="n"/>
      <c r="G85" s="11" t="n"/>
      <c r="H85" s="11" t="n"/>
      <c r="I85" s="19" t="n"/>
      <c r="J85" s="19" t="n"/>
      <c r="K85" s="19" t="n"/>
      <c r="L85" s="19" t="n"/>
    </row>
    <row r="86">
      <c r="A86" s="21" t="inlineStr">
        <is>
          <t>C. Incendie &amp; explosion</t>
        </is>
      </c>
      <c r="B86" s="21" t="inlineStr">
        <is>
          <t>Locaux IM2S</t>
        </is>
      </c>
      <c r="C86" s="22" t="inlineStr">
        <is>
          <t>C.12</t>
        </is>
      </c>
      <c r="D86" s="23" t="inlineStr">
        <is>
          <t>Exercices d'évacuation au moins tous les 6 mois</t>
        </is>
      </c>
      <c r="E86" s="24" t="inlineStr">
        <is>
          <t>Art. R.4227-39</t>
        </is>
      </c>
      <c r="F86" s="11" t="n"/>
      <c r="G86" s="11" t="n"/>
      <c r="H86" s="11" t="n"/>
      <c r="I86" s="19" t="n"/>
      <c r="J86" s="19" t="n"/>
      <c r="K86" s="19" t="n"/>
      <c r="L86" s="19" t="n"/>
    </row>
    <row r="87">
      <c r="A87" s="21" t="inlineStr">
        <is>
          <t>C. Incendie &amp; explosion</t>
        </is>
      </c>
      <c r="B87" s="21" t="inlineStr">
        <is>
          <t>Locaux IM2S</t>
        </is>
      </c>
      <c r="C87" s="22" t="inlineStr">
        <is>
          <t>C.13</t>
        </is>
      </c>
      <c r="D87" s="23" t="inlineStr">
        <is>
          <t>Système d'alarme incendie testé périodiquement (audible 100% locaux)</t>
        </is>
      </c>
      <c r="E87" s="24" t="inlineStr">
        <is>
          <t>Art. R.4227-34</t>
        </is>
      </c>
      <c r="F87" s="11" t="n"/>
      <c r="G87" s="11" t="n"/>
      <c r="H87" s="11" t="n"/>
      <c r="I87" s="19" t="n"/>
      <c r="J87" s="19" t="n"/>
      <c r="K87" s="19" t="n"/>
      <c r="L87" s="19" t="n"/>
    </row>
    <row r="88">
      <c r="A88" s="21" t="inlineStr">
        <is>
          <t>C. Incendie &amp; explosion</t>
        </is>
      </c>
      <c r="B88" s="21" t="inlineStr">
        <is>
          <t>Locaux IM2S</t>
        </is>
      </c>
      <c r="C88" s="22" t="inlineStr">
        <is>
          <t>C.14</t>
        </is>
      </c>
      <c r="D88" s="23" t="inlineStr">
        <is>
          <t>Portes coupe-feu fonctionnelles (ventouses, sélecteurs)</t>
        </is>
      </c>
      <c r="E88" s="24" t="inlineStr">
        <is>
          <t>Art. R.4227-13</t>
        </is>
      </c>
      <c r="F88" s="11" t="n"/>
      <c r="G88" s="11" t="n"/>
      <c r="H88" s="11" t="n"/>
      <c r="I88" s="19" t="n"/>
      <c r="J88" s="19" t="n"/>
      <c r="K88" s="19" t="n"/>
      <c r="L88" s="19" t="n"/>
    </row>
    <row r="89">
      <c r="A89" s="21" t="inlineStr">
        <is>
          <t>C. Incendie &amp; explosion</t>
        </is>
      </c>
      <c r="B89" s="21" t="inlineStr">
        <is>
          <t>Locaux IM2S</t>
        </is>
      </c>
      <c r="C89" s="22" t="inlineStr">
        <is>
          <t>C.15</t>
        </is>
      </c>
      <c r="D89" s="23" t="inlineStr">
        <is>
          <t>Désenfumage des cages d'escalier (si &gt; 1 étage)</t>
        </is>
      </c>
      <c r="E89" s="24" t="inlineStr">
        <is>
          <t>Art. R.4216-13</t>
        </is>
      </c>
      <c r="F89" s="11" t="n"/>
      <c r="G89" s="11" t="n"/>
      <c r="H89" s="11" t="n"/>
      <c r="I89" s="19" t="n"/>
      <c r="J89" s="19" t="n"/>
      <c r="K89" s="19" t="n"/>
      <c r="L89" s="19" t="n"/>
    </row>
    <row r="90">
      <c r="A90" s="21" t="inlineStr">
        <is>
          <t>C. Incendie &amp; explosion</t>
        </is>
      </c>
      <c r="B90" s="21" t="inlineStr">
        <is>
          <t>Locaux IM2S</t>
        </is>
      </c>
      <c r="C90" s="22" t="inlineStr">
        <is>
          <t>C.16</t>
        </is>
      </c>
      <c r="D90" s="23" t="inlineStr">
        <is>
          <t>Locaux à risques particuliers isolés (stockage)</t>
        </is>
      </c>
      <c r="E90" s="24" t="inlineStr">
        <is>
          <t>Art. R.4227-22</t>
        </is>
      </c>
      <c r="F90" s="11" t="n"/>
      <c r="G90" s="11" t="n"/>
      <c r="H90" s="11" t="n"/>
      <c r="I90" s="19" t="n"/>
      <c r="J90" s="19" t="n"/>
      <c r="K90" s="19" t="n"/>
      <c r="L90" s="19" t="n"/>
    </row>
    <row r="91">
      <c r="A91" s="21" t="inlineStr">
        <is>
          <t>C. Incendie &amp; explosion</t>
        </is>
      </c>
      <c r="B91" s="21" t="inlineStr">
        <is>
          <t>Extincteurs</t>
        </is>
      </c>
      <c r="C91" s="22" t="inlineStr">
        <is>
          <t>C.17</t>
        </is>
      </c>
      <c r="D91" s="23" t="inlineStr">
        <is>
          <t>Extincteurs 6 L eau pulvérisée — 1 pour 200 m² + 1/niveau min.</t>
        </is>
      </c>
      <c r="E91" s="24" t="inlineStr">
        <is>
          <t>Art. R.4227-29</t>
        </is>
      </c>
      <c r="F91" s="11" t="n"/>
      <c r="G91" s="11" t="n"/>
      <c r="H91" s="11" t="n"/>
      <c r="I91" s="19" t="n"/>
      <c r="J91" s="19" t="n"/>
      <c r="K91" s="19" t="n"/>
      <c r="L91" s="19" t="n"/>
    </row>
    <row r="92">
      <c r="A92" s="21" t="inlineStr">
        <is>
          <t>C. Incendie &amp; explosion</t>
        </is>
      </c>
      <c r="B92" s="21" t="inlineStr">
        <is>
          <t>Extincteurs</t>
        </is>
      </c>
      <c r="C92" s="22" t="inlineStr">
        <is>
          <t>C.18</t>
        </is>
      </c>
      <c r="D92" s="23" t="inlineStr">
        <is>
          <t>Hauteur poignée extincteur ≤ 1,20 m</t>
        </is>
      </c>
      <c r="E92" s="24" t="inlineStr">
        <is>
          <t>Bonne pratique</t>
        </is>
      </c>
      <c r="F92" s="11" t="n"/>
      <c r="G92" s="11" t="n"/>
      <c r="H92" s="11" t="n"/>
      <c r="I92" s="19" t="n"/>
      <c r="J92" s="19" t="n"/>
      <c r="K92" s="19" t="n"/>
      <c r="L92" s="19" t="n"/>
    </row>
    <row r="93">
      <c r="A93" s="21" t="inlineStr">
        <is>
          <t>C. Incendie &amp; explosion</t>
        </is>
      </c>
      <c r="B93" s="21" t="inlineStr">
        <is>
          <t>Extincteurs</t>
        </is>
      </c>
      <c r="C93" s="22" t="inlineStr">
        <is>
          <t>C.19</t>
        </is>
      </c>
      <c r="D93" s="23" t="inlineStr">
        <is>
          <t>Vérification annuelle par organisme certifié (APSAD R4)</t>
        </is>
      </c>
      <c r="E93" s="24" t="inlineStr">
        <is>
          <t>APSAD R4</t>
        </is>
      </c>
      <c r="F93" s="11" t="n"/>
      <c r="G93" s="11" t="n"/>
      <c r="H93" s="11" t="n"/>
      <c r="I93" s="19" t="n"/>
      <c r="J93" s="19" t="n"/>
      <c r="K93" s="19" t="n"/>
      <c r="L93" s="19" t="n"/>
    </row>
    <row r="94">
      <c r="A94" s="21" t="inlineStr">
        <is>
          <t>C. Incendie &amp; explosion</t>
        </is>
      </c>
      <c r="B94" s="21" t="inlineStr">
        <is>
          <t>Extincteurs</t>
        </is>
      </c>
      <c r="C94" s="22" t="inlineStr">
        <is>
          <t>C.20</t>
        </is>
      </c>
      <c r="D94" s="23" t="inlineStr">
        <is>
          <t>Maintenance préventive triennale + révision décennale</t>
        </is>
      </c>
      <c r="E94" s="24" t="inlineStr">
        <is>
          <t>APSAD R4 / NF S 61-919</t>
        </is>
      </c>
      <c r="F94" s="11" t="n"/>
      <c r="G94" s="11" t="n"/>
      <c r="H94" s="11" t="n"/>
      <c r="I94" s="19" t="n"/>
      <c r="J94" s="19" t="n"/>
      <c r="K94" s="19" t="n"/>
      <c r="L94" s="19" t="n"/>
    </row>
    <row r="95">
      <c r="A95" s="21" t="inlineStr">
        <is>
          <t>C. Incendie &amp; explosion</t>
        </is>
      </c>
      <c r="B95" s="21" t="inlineStr">
        <is>
          <t>Extincteurs</t>
        </is>
      </c>
      <c r="C95" s="22" t="inlineStr">
        <is>
          <t>C.21</t>
        </is>
      </c>
      <c r="D95" s="23" t="inlineStr">
        <is>
          <t>Signalisation au-dessus de chaque extincteur (norme NF X 08-003)</t>
        </is>
      </c>
      <c r="E95" s="24" t="inlineStr">
        <is>
          <t>NF X 08-003</t>
        </is>
      </c>
      <c r="F95" s="11" t="n"/>
      <c r="G95" s="11" t="n"/>
      <c r="H95" s="11" t="n"/>
      <c r="I95" s="19" t="n"/>
      <c r="J95" s="19" t="n"/>
      <c r="K95" s="19" t="n"/>
      <c r="L95" s="19" t="n"/>
    </row>
    <row r="96">
      <c r="A96" s="21" t="inlineStr">
        <is>
          <t>C. Incendie &amp; explosion</t>
        </is>
      </c>
      <c r="B96" s="21" t="inlineStr">
        <is>
          <t>Extincteurs</t>
        </is>
      </c>
      <c r="C96" s="22" t="inlineStr">
        <is>
          <t>C.22</t>
        </is>
      </c>
      <c r="D96" s="23" t="inlineStr">
        <is>
          <t>Formation manipulation extincteurs ≥ 1 fois par an pour tout salarié</t>
        </is>
      </c>
      <c r="E96" s="24" t="inlineStr">
        <is>
          <t>Art. R.4227-39</t>
        </is>
      </c>
      <c r="F96" s="11" t="n"/>
      <c r="G96" s="11" t="n"/>
      <c r="H96" s="11" t="n"/>
      <c r="I96" s="19" t="n"/>
      <c r="J96" s="19" t="n"/>
      <c r="K96" s="19" t="n"/>
      <c r="L96" s="19" t="n"/>
    </row>
    <row r="97">
      <c r="A97" s="21" t="inlineStr">
        <is>
          <t>C. Incendie &amp; explosion</t>
        </is>
      </c>
      <c r="B97" s="21" t="inlineStr">
        <is>
          <t>Stockage</t>
        </is>
      </c>
      <c r="C97" s="22" t="inlineStr">
        <is>
          <t>C.23</t>
        </is>
      </c>
      <c r="D97" s="23" t="inlineStr">
        <is>
          <t>Batteries plomb-acide stockées sur bac de rétention</t>
        </is>
      </c>
      <c r="E97" s="24" t="inlineStr">
        <is>
          <t>Code env.</t>
        </is>
      </c>
      <c r="F97" s="11" t="n"/>
      <c r="G97" s="11" t="n"/>
      <c r="H97" s="11" t="n"/>
      <c r="I97" s="19" t="n"/>
      <c r="J97" s="19" t="n"/>
      <c r="K97" s="19" t="n"/>
      <c r="L97" s="19" t="n"/>
    </row>
    <row r="98">
      <c r="A98" s="21" t="inlineStr">
        <is>
          <t>C. Incendie &amp; explosion</t>
        </is>
      </c>
      <c r="B98" s="21" t="inlineStr">
        <is>
          <t>Stockage</t>
        </is>
      </c>
      <c r="C98" s="22" t="inlineStr">
        <is>
          <t>C.24</t>
        </is>
      </c>
      <c r="D98" s="23" t="inlineStr">
        <is>
          <t>Batteries Li-ion stockées en armoire ignifuge ou bac de sable</t>
        </is>
      </c>
      <c r="E98" s="24" t="inlineStr">
        <is>
          <t>INRS ED 6321</t>
        </is>
      </c>
      <c r="F98" s="11" t="n"/>
      <c r="G98" s="11" t="n"/>
      <c r="H98" s="11" t="n"/>
      <c r="I98" s="19" t="n"/>
      <c r="J98" s="19" t="n"/>
      <c r="K98" s="19" t="n"/>
      <c r="L98" s="19" t="n"/>
    </row>
    <row r="99">
      <c r="A99" s="21" t="inlineStr">
        <is>
          <t>C. Incendie &amp; explosion</t>
        </is>
      </c>
      <c r="B99" s="21" t="inlineStr">
        <is>
          <t>Stockage</t>
        </is>
      </c>
      <c r="C99" s="22" t="inlineStr">
        <is>
          <t>C.25</t>
        </is>
      </c>
      <c r="D99" s="23" t="inlineStr">
        <is>
          <t>Séparation physique combustibles / comburants / explosifs</t>
        </is>
      </c>
      <c r="E99" s="24" t="inlineStr">
        <is>
          <t>Code env.</t>
        </is>
      </c>
      <c r="F99" s="11" t="n"/>
      <c r="G99" s="11" t="n"/>
      <c r="H99" s="11" t="n"/>
      <c r="I99" s="19" t="n"/>
      <c r="J99" s="19" t="n"/>
      <c r="K99" s="19" t="n"/>
      <c r="L99" s="19" t="n"/>
    </row>
    <row r="100">
      <c r="A100" s="21" t="inlineStr">
        <is>
          <t>C. Incendie &amp; explosion</t>
        </is>
      </c>
      <c r="B100" s="21" t="inlineStr">
        <is>
          <t>Stockage</t>
        </is>
      </c>
      <c r="C100" s="22" t="inlineStr">
        <is>
          <t>C.26</t>
        </is>
      </c>
      <c r="D100" s="23" t="inlineStr">
        <is>
          <t>Quantités au poste limitées au besoin journalier</t>
        </is>
      </c>
      <c r="E100" s="24" t="inlineStr">
        <is>
          <t>Art. R.4227-22</t>
        </is>
      </c>
      <c r="F100" s="11" t="n"/>
      <c r="G100" s="11" t="n"/>
      <c r="H100" s="11" t="n"/>
      <c r="I100" s="19" t="n"/>
      <c r="J100" s="19" t="n"/>
      <c r="K100" s="19" t="n"/>
      <c r="L100" s="19" t="n"/>
    </row>
    <row r="101">
      <c r="A101" s="21" t="inlineStr">
        <is>
          <t>C. Incendie &amp; explosion</t>
        </is>
      </c>
      <c r="B101" s="21" t="inlineStr">
        <is>
          <t>Stockage</t>
        </is>
      </c>
      <c r="C101" s="22" t="inlineStr">
        <is>
          <t>C.27</t>
        </is>
      </c>
      <c r="D101" s="23" t="inlineStr">
        <is>
          <t>Étiquetage CLP conforme (pictogrammes, mentions de danger)</t>
        </is>
      </c>
      <c r="E101" s="24" t="inlineStr">
        <is>
          <t>Règl. CE 1272/2008</t>
        </is>
      </c>
      <c r="F101" s="11" t="n"/>
      <c r="G101" s="11" t="n"/>
      <c r="H101" s="11" t="n"/>
      <c r="I101" s="19" t="n"/>
      <c r="J101" s="19" t="n"/>
      <c r="K101" s="19" t="n"/>
      <c r="L101" s="19" t="n"/>
    </row>
    <row r="102">
      <c r="A102" s="21" t="inlineStr">
        <is>
          <t>C. Incendie &amp; explosion</t>
        </is>
      </c>
      <c r="B102" s="21" t="inlineStr">
        <is>
          <t>Stockage</t>
        </is>
      </c>
      <c r="C102" s="22" t="inlineStr">
        <is>
          <t>C.28</t>
        </is>
      </c>
      <c r="D102" s="23" t="inlineStr">
        <is>
          <t>Inventaire chimique à jour avec FDS (date &lt; 5 ans)</t>
        </is>
      </c>
      <c r="E102" s="24" t="inlineStr">
        <is>
          <t>Art. R.4412-6</t>
        </is>
      </c>
      <c r="F102" s="11" t="n"/>
      <c r="G102" s="11" t="n"/>
      <c r="H102" s="11" t="n"/>
      <c r="I102" s="19" t="n"/>
      <c r="J102" s="19" t="n"/>
      <c r="K102" s="19" t="n"/>
      <c r="L102" s="19" t="n"/>
    </row>
    <row r="103">
      <c r="A103" s="21" t="inlineStr">
        <is>
          <t>C. Incendie &amp; explosion</t>
        </is>
      </c>
      <c r="B103" s="21" t="inlineStr">
        <is>
          <t>Vérifications</t>
        </is>
      </c>
      <c r="C103" s="22" t="inlineStr">
        <is>
          <t>C.29</t>
        </is>
      </c>
      <c r="D103" s="23" t="inlineStr">
        <is>
          <t>Q19 — Contrôle annuel SSI par organisme agréé</t>
        </is>
      </c>
      <c r="E103" s="24" t="inlineStr">
        <is>
          <t>Décret 88-1056</t>
        </is>
      </c>
      <c r="F103" s="11" t="n"/>
      <c r="G103" s="11" t="n"/>
      <c r="H103" s="11" t="n"/>
      <c r="I103" s="19" t="n"/>
      <c r="J103" s="19" t="n"/>
      <c r="K103" s="19" t="n"/>
      <c r="L103" s="19" t="n"/>
    </row>
    <row r="104">
      <c r="A104" s="21" t="inlineStr">
        <is>
          <t>C. Incendie &amp; explosion</t>
        </is>
      </c>
      <c r="B104" s="21" t="inlineStr">
        <is>
          <t>Vérifications</t>
        </is>
      </c>
      <c r="C104" s="22" t="inlineStr">
        <is>
          <t>C.30</t>
        </is>
      </c>
      <c r="D104" s="23" t="inlineStr">
        <is>
          <t>Vérification triennale du SSI par organisme certifié APSAD</t>
        </is>
      </c>
      <c r="E104" s="24" t="inlineStr">
        <is>
          <t>APSAD R7</t>
        </is>
      </c>
      <c r="F104" s="11" t="n"/>
      <c r="G104" s="11" t="n"/>
      <c r="H104" s="11" t="n"/>
      <c r="I104" s="19" t="n"/>
      <c r="J104" s="19" t="n"/>
      <c r="K104" s="19" t="n"/>
      <c r="L104" s="19" t="n"/>
    </row>
    <row r="105">
      <c r="A105" s="21" t="inlineStr">
        <is>
          <t>C. Incendie &amp; explosion</t>
        </is>
      </c>
      <c r="B105" s="21" t="inlineStr">
        <is>
          <t>Vérifications</t>
        </is>
      </c>
      <c r="C105" s="22" t="inlineStr">
        <is>
          <t>C.31</t>
        </is>
      </c>
      <c r="D105" s="23" t="inlineStr">
        <is>
          <t>Installations de chauffage contrôlées annuellement</t>
        </is>
      </c>
      <c r="E105" s="24" t="inlineStr">
        <is>
          <t>Art. R.4227-22</t>
        </is>
      </c>
      <c r="F105" s="11" t="n"/>
      <c r="G105" s="11" t="n"/>
      <c r="H105" s="11" t="n"/>
      <c r="I105" s="19" t="n"/>
      <c r="J105" s="19" t="n"/>
      <c r="K105" s="19" t="n"/>
      <c r="L105" s="19" t="n"/>
    </row>
    <row r="106">
      <c r="A106" s="21" t="inlineStr">
        <is>
          <t>C. Incendie &amp; explosion</t>
        </is>
      </c>
      <c r="B106" s="21" t="inlineStr">
        <is>
          <t>ATEX</t>
        </is>
      </c>
      <c r="C106" s="22" t="inlineStr">
        <is>
          <t>C.32</t>
        </is>
      </c>
      <c r="D106" s="23" t="inlineStr">
        <is>
          <t>Identification des zones ATEX si applicables (zones 0/1/2/20/21/22)</t>
        </is>
      </c>
      <c r="E106" s="24" t="inlineStr">
        <is>
          <t>Décret 2002-1553</t>
        </is>
      </c>
      <c r="F106" s="11" t="n"/>
      <c r="G106" s="11" t="n"/>
      <c r="H106" s="11" t="n"/>
      <c r="I106" s="19" t="n"/>
      <c r="J106" s="19" t="n"/>
      <c r="K106" s="19" t="n"/>
      <c r="L106" s="19" t="n"/>
    </row>
    <row r="107">
      <c r="A107" s="21" t="inlineStr">
        <is>
          <t>C. Incendie &amp; explosion</t>
        </is>
      </c>
      <c r="B107" s="21" t="inlineStr">
        <is>
          <t>ATEX</t>
        </is>
      </c>
      <c r="C107" s="22" t="inlineStr">
        <is>
          <t>C.33</t>
        </is>
      </c>
      <c r="D107" s="23" t="inlineStr">
        <is>
          <t>DRPCE (Document Relatif Protection Contre Explosions) si zones ATEX</t>
        </is>
      </c>
      <c r="E107" s="24" t="inlineStr">
        <is>
          <t>Art. R.4227-52</t>
        </is>
      </c>
      <c r="F107" s="11" t="n"/>
      <c r="G107" s="11" t="n"/>
      <c r="H107" s="11" t="n"/>
      <c r="I107" s="19" t="n"/>
      <c r="J107" s="19" t="n"/>
      <c r="K107" s="19" t="n"/>
      <c r="L107" s="19" t="n"/>
    </row>
    <row r="108">
      <c r="A108" s="21" t="inlineStr">
        <is>
          <t>C. Incendie &amp; explosion</t>
        </is>
      </c>
      <c r="B108" s="21" t="inlineStr">
        <is>
          <t>Intervention ERP</t>
        </is>
      </c>
      <c r="C108" s="22" t="inlineStr">
        <is>
          <t>C.34</t>
        </is>
      </c>
      <c r="D108" s="23" t="inlineStr">
        <is>
          <t>Coordination obligatoire avec responsable d'exploitation client</t>
        </is>
      </c>
      <c r="E108" s="24" t="inlineStr">
        <is>
          <t>Règl. sécurité ERP</t>
        </is>
      </c>
      <c r="F108" s="11" t="n"/>
      <c r="G108" s="11" t="n"/>
      <c r="H108" s="11" t="n"/>
      <c r="I108" s="19" t="n"/>
      <c r="J108" s="19" t="n"/>
      <c r="K108" s="19" t="n"/>
      <c r="L108" s="19" t="n"/>
    </row>
    <row r="109">
      <c r="A109" s="21" t="inlineStr">
        <is>
          <t>C. Incendie &amp; explosion</t>
        </is>
      </c>
      <c r="B109" s="21" t="inlineStr">
        <is>
          <t>Intervention ERP</t>
        </is>
      </c>
      <c r="C109" s="22" t="inlineStr">
        <is>
          <t>C.35</t>
        </is>
      </c>
      <c r="D109" s="23" t="inlineStr">
        <is>
          <t>Balisage zones intervention (rubalise, panneaux)</t>
        </is>
      </c>
      <c r="E109" s="24" t="inlineStr">
        <is>
          <t>Bonne pratique</t>
        </is>
      </c>
      <c r="F109" s="11" t="n"/>
      <c r="G109" s="11" t="n"/>
      <c r="H109" s="11" t="n"/>
      <c r="I109" s="19" t="n"/>
      <c r="J109" s="19" t="n"/>
      <c r="K109" s="19" t="n"/>
      <c r="L109" s="19" t="n"/>
    </row>
    <row r="110">
      <c r="A110" s="21" t="inlineStr">
        <is>
          <t>C. Incendie &amp; explosion</t>
        </is>
      </c>
      <c r="B110" s="21" t="inlineStr">
        <is>
          <t>Intervention ERP</t>
        </is>
      </c>
      <c r="C110" s="22" t="inlineStr">
        <is>
          <t>C.36</t>
        </is>
      </c>
      <c r="D110" s="23" t="inlineStr">
        <is>
          <t>Affichage nature et durée intervention à proximité</t>
        </is>
      </c>
      <c r="E110" s="24" t="inlineStr">
        <is>
          <t>Bonne pratique</t>
        </is>
      </c>
      <c r="F110" s="11" t="n"/>
      <c r="G110" s="11" t="n"/>
      <c r="H110" s="11" t="n"/>
      <c r="I110" s="19" t="n"/>
      <c r="J110" s="19" t="n"/>
      <c r="K110" s="19" t="n"/>
      <c r="L110" s="19" t="n"/>
    </row>
    <row r="111">
      <c r="A111" s="21" t="inlineStr">
        <is>
          <t>C. Incendie &amp; explosion</t>
        </is>
      </c>
      <c r="B111" s="21" t="inlineStr">
        <is>
          <t>Intervention ERP</t>
        </is>
      </c>
      <c r="C111" s="22" t="inlineStr">
        <is>
          <t>C.37</t>
        </is>
      </c>
      <c r="D111" s="23" t="inlineStr">
        <is>
          <t>Maintien des voies d'évacuation et dégagements</t>
        </is>
      </c>
      <c r="E111" s="24" t="inlineStr">
        <is>
          <t>Règl. sécurité ERP</t>
        </is>
      </c>
      <c r="F111" s="11" t="n"/>
      <c r="G111" s="11" t="n"/>
      <c r="H111" s="11" t="n"/>
      <c r="I111" s="19" t="n"/>
      <c r="J111" s="19" t="n"/>
      <c r="K111" s="19" t="n"/>
      <c r="L111" s="19" t="n"/>
    </row>
    <row r="112">
      <c r="A112" s="21" t="inlineStr">
        <is>
          <t>C. Incendie &amp; explosion</t>
        </is>
      </c>
      <c r="B112" s="21" t="inlineStr">
        <is>
          <t>Maintenance SSI</t>
        </is>
      </c>
      <c r="C112" s="22" t="inlineStr">
        <is>
          <t>C.38</t>
        </is>
      </c>
      <c r="D112" s="23" t="inlineStr">
        <is>
          <t>Maintenance SSI selon NF S 61-933 — niveaux I à IV documentés</t>
        </is>
      </c>
      <c r="E112" s="24" t="inlineStr">
        <is>
          <t>NF S 61-933</t>
        </is>
      </c>
      <c r="F112" s="11" t="n"/>
      <c r="G112" s="11" t="n"/>
      <c r="H112" s="11" t="n"/>
      <c r="I112" s="19" t="n"/>
      <c r="J112" s="19" t="n"/>
      <c r="K112" s="19" t="n"/>
      <c r="L112" s="19" t="n"/>
    </row>
    <row r="113">
      <c r="A113" s="25" t="inlineStr">
        <is>
          <t>D. Manutention &amp; TMS</t>
        </is>
      </c>
      <c r="B113" s="25" t="inlineStr">
        <is>
          <t>Évaluation</t>
        </is>
      </c>
      <c r="C113" s="26" t="inlineStr">
        <is>
          <t>D.01</t>
        </is>
      </c>
      <c r="D113" s="6" t="inlineStr">
        <is>
          <t>Postes de manutention manuelle recensés et évalués</t>
        </is>
      </c>
      <c r="E113" s="27" t="inlineStr">
        <is>
          <t>Art. R.4541-3</t>
        </is>
      </c>
      <c r="F113" s="11" t="n"/>
      <c r="G113" s="11" t="n"/>
      <c r="H113" s="11" t="n"/>
      <c r="I113" s="19" t="n"/>
      <c r="J113" s="19" t="n"/>
      <c r="K113" s="19" t="n"/>
      <c r="L113" s="19" t="n"/>
    </row>
    <row r="114">
      <c r="A114" s="25" t="inlineStr">
        <is>
          <t>D. Manutention &amp; TMS</t>
        </is>
      </c>
      <c r="B114" s="25" t="inlineStr">
        <is>
          <t>Évaluation</t>
        </is>
      </c>
      <c r="C114" s="26" t="inlineStr">
        <is>
          <t>D.02</t>
        </is>
      </c>
      <c r="D114" s="6" t="inlineStr">
        <is>
          <t>Analyse détaillée des postes (pénibilité, répétitivité, charges, fréquence)</t>
        </is>
      </c>
      <c r="E114" s="27" t="inlineStr">
        <is>
          <t>Art. R.4541-4</t>
        </is>
      </c>
      <c r="F114" s="11" t="n"/>
      <c r="G114" s="11" t="n"/>
      <c r="H114" s="11" t="n"/>
      <c r="I114" s="19" t="n"/>
      <c r="J114" s="19" t="n"/>
      <c r="K114" s="19" t="n"/>
      <c r="L114" s="19" t="n"/>
    </row>
    <row r="115">
      <c r="A115" s="25" t="inlineStr">
        <is>
          <t>D. Manutention &amp; TMS</t>
        </is>
      </c>
      <c r="B115" s="25" t="inlineStr">
        <is>
          <t>Évaluation</t>
        </is>
      </c>
      <c r="C115" s="26" t="inlineStr">
        <is>
          <t>D.03</t>
        </is>
      </c>
      <c r="D115" s="6" t="inlineStr">
        <is>
          <t>Liste des salariés manutentionnaires transmise au médecin du travail</t>
        </is>
      </c>
      <c r="E115" s="27" t="inlineStr">
        <is>
          <t>Art. R.4541-3</t>
        </is>
      </c>
      <c r="F115" s="11" t="n"/>
      <c r="G115" s="11" t="n"/>
      <c r="H115" s="11" t="n"/>
      <c r="I115" s="19" t="n"/>
      <c r="J115" s="19" t="n"/>
      <c r="K115" s="19" t="n"/>
      <c r="L115" s="19" t="n"/>
    </row>
    <row r="116">
      <c r="A116" s="25" t="inlineStr">
        <is>
          <t>D. Manutention &amp; TMS</t>
        </is>
      </c>
      <c r="B116" s="25" t="inlineStr">
        <is>
          <t>Charges limites</t>
        </is>
      </c>
      <c r="C116" s="26" t="inlineStr">
        <is>
          <t>D.04</t>
        </is>
      </c>
      <c r="D116" s="6" t="inlineStr">
        <is>
          <t>Charges manuelles &gt; 55 kg interdites sans aide mécanique (hommes adultes)</t>
        </is>
      </c>
      <c r="E116" s="27" t="inlineStr">
        <is>
          <t>Art. R.4541-9</t>
        </is>
      </c>
      <c r="F116" s="11" t="n"/>
      <c r="G116" s="11" t="n"/>
      <c r="H116" s="11" t="n"/>
      <c r="I116" s="19" t="n"/>
      <c r="J116" s="19" t="n"/>
      <c r="K116" s="19" t="n"/>
      <c r="L116" s="19" t="n"/>
    </row>
    <row r="117">
      <c r="A117" s="25" t="inlineStr">
        <is>
          <t>D. Manutention &amp; TMS</t>
        </is>
      </c>
      <c r="B117" s="25" t="inlineStr">
        <is>
          <t>Charges limites</t>
        </is>
      </c>
      <c r="C117" s="26" t="inlineStr">
        <is>
          <t>D.05</t>
        </is>
      </c>
      <c r="D117" s="6" t="inlineStr">
        <is>
          <t>Charges manuelles &gt; 25 kg interdites pour femmes adultes</t>
        </is>
      </c>
      <c r="E117" s="27" t="inlineStr">
        <is>
          <t>Art. R.4541-9</t>
        </is>
      </c>
      <c r="F117" s="11" t="n"/>
      <c r="G117" s="11" t="n"/>
      <c r="H117" s="11" t="n"/>
      <c r="I117" s="19" t="n"/>
      <c r="J117" s="19" t="n"/>
      <c r="K117" s="19" t="n"/>
      <c r="L117" s="19" t="n"/>
    </row>
    <row r="118">
      <c r="A118" s="25" t="inlineStr">
        <is>
          <t>D. Manutention &amp; TMS</t>
        </is>
      </c>
      <c r="B118" s="25" t="inlineStr">
        <is>
          <t>Charges limites</t>
        </is>
      </c>
      <c r="C118" s="26" t="inlineStr">
        <is>
          <t>D.06</t>
        </is>
      </c>
      <c r="D118" s="6" t="inlineStr">
        <is>
          <t>Charges manuelles ≤ 20 kg pour jeunes 15-18 ans (avis méd.)</t>
        </is>
      </c>
      <c r="E118" s="27" t="inlineStr">
        <is>
          <t>Art. D.4153-39</t>
        </is>
      </c>
      <c r="F118" s="11" t="n"/>
      <c r="G118" s="11" t="n"/>
      <c r="H118" s="11" t="n"/>
      <c r="I118" s="19" t="n"/>
      <c r="J118" s="19" t="n"/>
      <c r="K118" s="19" t="n"/>
      <c r="L118" s="19" t="n"/>
    </row>
    <row r="119">
      <c r="A119" s="25" t="inlineStr">
        <is>
          <t>D. Manutention &amp; TMS</t>
        </is>
      </c>
      <c r="B119" s="25" t="inlineStr">
        <is>
          <t>Aides mécaniques</t>
        </is>
      </c>
      <c r="C119" s="26" t="inlineStr">
        <is>
          <t>D.07</t>
        </is>
      </c>
      <c r="D119" s="6" t="inlineStr">
        <is>
          <t>Diables, transpalettes, chariots adaptés aux charges</t>
        </is>
      </c>
      <c r="E119" s="27" t="inlineStr">
        <is>
          <t>Art. R.4541-2</t>
        </is>
      </c>
      <c r="F119" s="11" t="n"/>
      <c r="G119" s="11" t="n"/>
      <c r="H119" s="11" t="n"/>
      <c r="I119" s="19" t="n"/>
      <c r="J119" s="19" t="n"/>
      <c r="K119" s="19" t="n"/>
      <c r="L119" s="19" t="n"/>
    </row>
    <row r="120">
      <c r="A120" s="25" t="inlineStr">
        <is>
          <t>D. Manutention &amp; TMS</t>
        </is>
      </c>
      <c r="B120" s="25" t="inlineStr">
        <is>
          <t>Aides mécaniques</t>
        </is>
      </c>
      <c r="C120" s="26" t="inlineStr">
        <is>
          <t>D.08</t>
        </is>
      </c>
      <c r="D120" s="6" t="inlineStr">
        <is>
          <t>Sangles de portage à 2 personnes pour batteries lourdes</t>
        </is>
      </c>
      <c r="E120" s="27" t="inlineStr">
        <is>
          <t>Bonne pratique</t>
        </is>
      </c>
      <c r="F120" s="11" t="n"/>
      <c r="G120" s="11" t="n"/>
      <c r="H120" s="11" t="n"/>
      <c r="I120" s="19" t="n"/>
      <c r="J120" s="19" t="n"/>
      <c r="K120" s="19" t="n"/>
      <c r="L120" s="19" t="n"/>
    </row>
    <row r="121">
      <c r="A121" s="25" t="inlineStr">
        <is>
          <t>D. Manutention &amp; TMS</t>
        </is>
      </c>
      <c r="B121" s="25" t="inlineStr">
        <is>
          <t>Aides mécaniques</t>
        </is>
      </c>
      <c r="C121" s="26" t="inlineStr">
        <is>
          <t>D.09</t>
        </is>
      </c>
      <c r="D121" s="6" t="inlineStr">
        <is>
          <t>Lève-vitre, ventouse pour panneaux SSI vitrés</t>
        </is>
      </c>
      <c r="E121" s="27" t="inlineStr">
        <is>
          <t>Bonne pratique</t>
        </is>
      </c>
      <c r="F121" s="11" t="n"/>
      <c r="G121" s="11" t="n"/>
      <c r="H121" s="11" t="n"/>
      <c r="I121" s="19" t="n"/>
      <c r="J121" s="19" t="n"/>
      <c r="K121" s="19" t="n"/>
      <c r="L121" s="19" t="n"/>
    </row>
    <row r="122">
      <c r="A122" s="25" t="inlineStr">
        <is>
          <t>D. Manutention &amp; TMS</t>
        </is>
      </c>
      <c r="B122" s="25" t="inlineStr">
        <is>
          <t>Aides mécaniques</t>
        </is>
      </c>
      <c r="C122" s="26" t="inlineStr">
        <is>
          <t>D.10</t>
        </is>
      </c>
      <c r="D122" s="6" t="inlineStr">
        <is>
          <t>Engins de levage (palans, vérins) pour pièces &gt; 25 kg</t>
        </is>
      </c>
      <c r="E122" s="27" t="inlineStr">
        <is>
          <t>Art. R.4541-2</t>
        </is>
      </c>
      <c r="F122" s="11" t="n"/>
      <c r="G122" s="11" t="n"/>
      <c r="H122" s="11" t="n"/>
      <c r="I122" s="19" t="n"/>
      <c r="J122" s="19" t="n"/>
      <c r="K122" s="19" t="n"/>
      <c r="L122" s="19" t="n"/>
    </row>
    <row r="123">
      <c r="A123" s="25" t="inlineStr">
        <is>
          <t>D. Manutention &amp; TMS</t>
        </is>
      </c>
      <c r="B123" s="25" t="inlineStr">
        <is>
          <t>Aides mécaniques</t>
        </is>
      </c>
      <c r="C123" s="26" t="inlineStr">
        <is>
          <t>D.11</t>
        </is>
      </c>
      <c r="D123" s="6" t="inlineStr">
        <is>
          <t>VGP semestrielle des engins de levage</t>
        </is>
      </c>
      <c r="E123" s="27" t="inlineStr">
        <is>
          <t>Arrêté 01/03/2004</t>
        </is>
      </c>
      <c r="F123" s="11" t="n"/>
      <c r="G123" s="11" t="n"/>
      <c r="H123" s="11" t="n"/>
      <c r="I123" s="19" t="n"/>
      <c r="J123" s="19" t="n"/>
      <c r="K123" s="19" t="n"/>
      <c r="L123" s="19" t="n"/>
    </row>
    <row r="124">
      <c r="A124" s="25" t="inlineStr">
        <is>
          <t>D. Manutention &amp; TMS</t>
        </is>
      </c>
      <c r="B124" s="25" t="inlineStr">
        <is>
          <t>Formation PRAP</t>
        </is>
      </c>
      <c r="C124" s="26" t="inlineStr">
        <is>
          <t>D.12</t>
        </is>
      </c>
      <c r="D124" s="6" t="inlineStr">
        <is>
          <t>Formation gestes &amp; postures (PRAP) initiale pour tout manutentionnaire</t>
        </is>
      </c>
      <c r="E124" s="27" t="inlineStr">
        <is>
          <t>Art. R.4541-8</t>
        </is>
      </c>
      <c r="F124" s="11" t="n"/>
      <c r="G124" s="11" t="n"/>
      <c r="H124" s="11" t="n"/>
      <c r="I124" s="19" t="n"/>
      <c r="J124" s="19" t="n"/>
      <c r="K124" s="19" t="n"/>
      <c r="L124" s="19" t="n"/>
    </row>
    <row r="125">
      <c r="A125" s="25" t="inlineStr">
        <is>
          <t>D. Manutention &amp; TMS</t>
        </is>
      </c>
      <c r="B125" s="25" t="inlineStr">
        <is>
          <t>Formation PRAP</t>
        </is>
      </c>
      <c r="C125" s="26" t="inlineStr">
        <is>
          <t>D.13</t>
        </is>
      </c>
      <c r="D125" s="6" t="inlineStr">
        <is>
          <t>Recyclage triennal de la formation PRAP</t>
        </is>
      </c>
      <c r="E125" s="27" t="inlineStr">
        <is>
          <t>Bonne pratique</t>
        </is>
      </c>
      <c r="F125" s="11" t="n"/>
      <c r="G125" s="11" t="n"/>
      <c r="H125" s="11" t="n"/>
      <c r="I125" s="19" t="n"/>
      <c r="J125" s="19" t="n"/>
      <c r="K125" s="19" t="n"/>
      <c r="L125" s="19" t="n"/>
    </row>
    <row r="126">
      <c r="A126" s="25" t="inlineStr">
        <is>
          <t>D. Manutention &amp; TMS</t>
        </is>
      </c>
      <c r="B126" s="25" t="inlineStr">
        <is>
          <t>Formation PRAP</t>
        </is>
      </c>
      <c r="C126" s="26" t="inlineStr">
        <is>
          <t>D.14</t>
        </is>
      </c>
      <c r="D126" s="6" t="inlineStr">
        <is>
          <t>Formation spécifique levage et arrimage charges sur véhicule</t>
        </is>
      </c>
      <c r="E126" s="27" t="inlineStr">
        <is>
          <t>Reco. CARSAT R.482</t>
        </is>
      </c>
      <c r="F126" s="11" t="n"/>
      <c r="G126" s="11" t="n"/>
      <c r="H126" s="11" t="n"/>
      <c r="I126" s="19" t="n"/>
      <c r="J126" s="19" t="n"/>
      <c r="K126" s="19" t="n"/>
      <c r="L126" s="19" t="n"/>
    </row>
    <row r="127">
      <c r="A127" s="25" t="inlineStr">
        <is>
          <t>D. Manutention &amp; TMS</t>
        </is>
      </c>
      <c r="B127" s="25" t="inlineStr">
        <is>
          <t>Aménagement</t>
        </is>
      </c>
      <c r="C127" s="26" t="inlineStr">
        <is>
          <t>D.15</t>
        </is>
      </c>
      <c r="D127" s="6" t="inlineStr">
        <is>
          <t>Magasin : pièces lourdes stockées en bas des rayonnages</t>
        </is>
      </c>
      <c r="E127" s="27" t="inlineStr">
        <is>
          <t>Art. R.4541-7</t>
        </is>
      </c>
      <c r="F127" s="11" t="n"/>
      <c r="G127" s="11" t="n"/>
      <c r="H127" s="11" t="n"/>
      <c r="I127" s="19" t="n"/>
      <c r="J127" s="19" t="n"/>
      <c r="K127" s="19" t="n"/>
      <c r="L127" s="19" t="n"/>
    </row>
    <row r="128">
      <c r="A128" s="25" t="inlineStr">
        <is>
          <t>D. Manutention &amp; TMS</t>
        </is>
      </c>
      <c r="B128" s="25" t="inlineStr">
        <is>
          <t>Aménagement</t>
        </is>
      </c>
      <c r="C128" s="26" t="inlineStr">
        <is>
          <t>D.16</t>
        </is>
      </c>
      <c r="D128" s="6" t="inlineStr">
        <is>
          <t>Hauteurs de plan de travail à 90-100 cm pour limiter flexions</t>
        </is>
      </c>
      <c r="E128" s="27" t="inlineStr">
        <is>
          <t>INRS ED 957</t>
        </is>
      </c>
      <c r="F128" s="11" t="n"/>
      <c r="G128" s="11" t="n"/>
      <c r="H128" s="11" t="n"/>
      <c r="I128" s="19" t="n"/>
      <c r="J128" s="19" t="n"/>
      <c r="K128" s="19" t="n"/>
      <c r="L128" s="19" t="n"/>
    </row>
    <row r="129">
      <c r="A129" s="25" t="inlineStr">
        <is>
          <t>D. Manutention &amp; TMS</t>
        </is>
      </c>
      <c r="B129" s="25" t="inlineStr">
        <is>
          <t>Aménagement</t>
        </is>
      </c>
      <c r="C129" s="26" t="inlineStr">
        <is>
          <t>D.17</t>
        </is>
      </c>
      <c r="D129" s="6" t="inlineStr">
        <is>
          <t>Rotation des tâches en chantier pour limiter cumul postures contraintes</t>
        </is>
      </c>
      <c r="E129" s="27" t="inlineStr">
        <is>
          <t>Art. R.4121-2</t>
        </is>
      </c>
      <c r="F129" s="11" t="n"/>
      <c r="G129" s="11" t="n"/>
      <c r="H129" s="11" t="n"/>
      <c r="I129" s="19" t="n"/>
      <c r="J129" s="19" t="n"/>
      <c r="K129" s="19" t="n"/>
      <c r="L129" s="19" t="n"/>
    </row>
    <row r="130">
      <c r="A130" s="25" t="inlineStr">
        <is>
          <t>D. Manutention &amp; TMS</t>
        </is>
      </c>
      <c r="B130" s="25" t="inlineStr">
        <is>
          <t>Aménagement</t>
        </is>
      </c>
      <c r="C130" s="26" t="inlineStr">
        <is>
          <t>D.18</t>
        </is>
      </c>
      <c r="D130" s="6" t="inlineStr">
        <is>
          <t>Plages de récupération entre tâches lourdes</t>
        </is>
      </c>
      <c r="E130" s="27" t="inlineStr">
        <is>
          <t>Art. L.4121-2</t>
        </is>
      </c>
      <c r="F130" s="11" t="n"/>
      <c r="G130" s="11" t="n"/>
      <c r="H130" s="11" t="n"/>
      <c r="I130" s="19" t="n"/>
      <c r="J130" s="19" t="n"/>
      <c r="K130" s="19" t="n"/>
      <c r="L130" s="19" t="n"/>
    </row>
    <row r="131">
      <c r="A131" s="25" t="inlineStr">
        <is>
          <t>D. Manutention &amp; TMS</t>
        </is>
      </c>
      <c r="B131" s="25" t="inlineStr">
        <is>
          <t>Postures</t>
        </is>
      </c>
      <c r="C131" s="26" t="inlineStr">
        <is>
          <t>D.19</t>
        </is>
      </c>
      <c r="D131" s="6" t="inlineStr">
        <is>
          <t>Postures bras levés / accroupies / en torsion identifiées et limitées</t>
        </is>
      </c>
      <c r="E131" s="27" t="inlineStr">
        <is>
          <t>INRS ED 957</t>
        </is>
      </c>
      <c r="F131" s="11" t="n"/>
      <c r="G131" s="11" t="n"/>
      <c r="H131" s="11" t="n"/>
      <c r="I131" s="19" t="n"/>
      <c r="J131" s="19" t="n"/>
      <c r="K131" s="19" t="n"/>
      <c r="L131" s="19" t="n"/>
    </row>
    <row r="132">
      <c r="A132" s="25" t="inlineStr">
        <is>
          <t>D. Manutention &amp; TMS</t>
        </is>
      </c>
      <c r="B132" s="25" t="inlineStr">
        <is>
          <t>Postures</t>
        </is>
      </c>
      <c r="C132" s="26" t="inlineStr">
        <is>
          <t>D.20</t>
        </is>
      </c>
      <c r="D132" s="6" t="inlineStr">
        <is>
          <t>Travail en faux-plafond avec plateforme stable (pas accroupi sur poutre)</t>
        </is>
      </c>
      <c r="E132" s="27" t="inlineStr">
        <is>
          <t>Art. R.4323-58</t>
        </is>
      </c>
      <c r="F132" s="11" t="n"/>
      <c r="G132" s="11" t="n"/>
      <c r="H132" s="11" t="n"/>
      <c r="I132" s="19" t="n"/>
      <c r="J132" s="19" t="n"/>
      <c r="K132" s="19" t="n"/>
      <c r="L132" s="19" t="n"/>
    </row>
    <row r="133">
      <c r="A133" s="25" t="inlineStr">
        <is>
          <t>D. Manutention &amp; TMS</t>
        </is>
      </c>
      <c r="B133" s="25" t="inlineStr">
        <is>
          <t>EPI manutention</t>
        </is>
      </c>
      <c r="C133" s="26" t="inlineStr">
        <is>
          <t>D.21</t>
        </is>
      </c>
      <c r="D133" s="6" t="inlineStr">
        <is>
          <t>Gants manutention (NF EN 388 niveau ≥ 3)</t>
        </is>
      </c>
      <c r="E133" s="27" t="inlineStr">
        <is>
          <t>Art. R.4323-95</t>
        </is>
      </c>
      <c r="F133" s="11" t="n"/>
      <c r="G133" s="11" t="n"/>
      <c r="H133" s="11" t="n"/>
      <c r="I133" s="19" t="n"/>
      <c r="J133" s="19" t="n"/>
      <c r="K133" s="19" t="n"/>
      <c r="L133" s="19" t="n"/>
    </row>
    <row r="134">
      <c r="A134" s="25" t="inlineStr">
        <is>
          <t>D. Manutention &amp; TMS</t>
        </is>
      </c>
      <c r="B134" s="25" t="inlineStr">
        <is>
          <t>EPI manutention</t>
        </is>
      </c>
      <c r="C134" s="26" t="inlineStr">
        <is>
          <t>D.22</t>
        </is>
      </c>
      <c r="D134" s="6" t="inlineStr">
        <is>
          <t>Chaussures de sécurité S3 antiperforation</t>
        </is>
      </c>
      <c r="E134" s="27" t="inlineStr">
        <is>
          <t>NF EN ISO 20345</t>
        </is>
      </c>
      <c r="F134" s="11" t="n"/>
      <c r="G134" s="11" t="n"/>
      <c r="H134" s="11" t="n"/>
      <c r="I134" s="19" t="n"/>
      <c r="J134" s="19" t="n"/>
      <c r="K134" s="19" t="n"/>
      <c r="L134" s="19" t="n"/>
    </row>
    <row r="135">
      <c r="A135" s="25" t="inlineStr">
        <is>
          <t>D. Manutention &amp; TMS</t>
        </is>
      </c>
      <c r="B135" s="25" t="inlineStr">
        <is>
          <t>EPI manutention</t>
        </is>
      </c>
      <c r="C135" s="26" t="inlineStr">
        <is>
          <t>D.23</t>
        </is>
      </c>
      <c r="D135" s="6" t="inlineStr">
        <is>
          <t>Genouillères pour travail à genoux (pose détecteurs au sol)</t>
        </is>
      </c>
      <c r="E135" s="27" t="inlineStr">
        <is>
          <t>Bonne pratique</t>
        </is>
      </c>
      <c r="F135" s="11" t="n"/>
      <c r="G135" s="11" t="n"/>
      <c r="H135" s="11" t="n"/>
      <c r="I135" s="19" t="n"/>
      <c r="J135" s="19" t="n"/>
      <c r="K135" s="19" t="n"/>
      <c r="L135" s="19" t="n"/>
    </row>
    <row r="136">
      <c r="A136" s="25" t="inlineStr">
        <is>
          <t>D. Manutention &amp; TMS</t>
        </is>
      </c>
      <c r="B136" s="25" t="inlineStr">
        <is>
          <t>EPI manutention</t>
        </is>
      </c>
      <c r="C136" s="26" t="inlineStr">
        <is>
          <t>D.24</t>
        </is>
      </c>
      <c r="D136" s="6" t="inlineStr">
        <is>
          <t>Ceintures lombaires interdites en prévention (CARSAT - INRS)</t>
        </is>
      </c>
      <c r="E136" s="27" t="inlineStr">
        <is>
          <t>Position INRS</t>
        </is>
      </c>
      <c r="F136" s="11" t="n"/>
      <c r="G136" s="11" t="n"/>
      <c r="H136" s="11" t="n"/>
      <c r="I136" s="19" t="n"/>
      <c r="J136" s="19" t="n"/>
      <c r="K136" s="19" t="n"/>
      <c r="L136" s="19" t="n"/>
    </row>
    <row r="137">
      <c r="A137" s="25" t="inlineStr">
        <is>
          <t>D. Manutention &amp; TMS</t>
        </is>
      </c>
      <c r="B137" s="25" t="inlineStr">
        <is>
          <t>Écrans (UT1/UT6)</t>
        </is>
      </c>
      <c r="C137" s="26" t="inlineStr">
        <is>
          <t>D.25</t>
        </is>
      </c>
      <c r="D137" s="6" t="inlineStr">
        <is>
          <t>Postes informatiques ergonomiques (siège réglable, écran à hauteur des yeux)</t>
        </is>
      </c>
      <c r="E137" s="27" t="inlineStr">
        <is>
          <t>Art. R.4542-1</t>
        </is>
      </c>
      <c r="F137" s="11" t="n"/>
      <c r="G137" s="11" t="n"/>
      <c r="H137" s="11" t="n"/>
      <c r="I137" s="19" t="n"/>
      <c r="J137" s="19" t="n"/>
      <c r="K137" s="19" t="n"/>
      <c r="L137" s="19" t="n"/>
    </row>
    <row r="138">
      <c r="A138" s="25" t="inlineStr">
        <is>
          <t>D. Manutention &amp; TMS</t>
        </is>
      </c>
      <c r="B138" s="25" t="inlineStr">
        <is>
          <t>Écrans (UT1/UT6)</t>
        </is>
      </c>
      <c r="C138" s="26" t="inlineStr">
        <is>
          <t>D.26</t>
        </is>
      </c>
      <c r="D138" s="6" t="inlineStr">
        <is>
          <t>Distance écran-yeux 60-80 cm</t>
        </is>
      </c>
      <c r="E138" s="27" t="inlineStr">
        <is>
          <t>Art. R.4542-3</t>
        </is>
      </c>
      <c r="F138" s="11" t="n"/>
      <c r="G138" s="11" t="n"/>
      <c r="H138" s="11" t="n"/>
      <c r="I138" s="19" t="n"/>
      <c r="J138" s="19" t="n"/>
      <c r="K138" s="19" t="n"/>
      <c r="L138" s="19" t="n"/>
    </row>
    <row r="139">
      <c r="A139" s="25" t="inlineStr">
        <is>
          <t>D. Manutention &amp; TMS</t>
        </is>
      </c>
      <c r="B139" s="25" t="inlineStr">
        <is>
          <t>Écrans (UT1/UT6)</t>
        </is>
      </c>
      <c r="C139" s="26" t="inlineStr">
        <is>
          <t>D.27</t>
        </is>
      </c>
      <c r="D139" s="6" t="inlineStr">
        <is>
          <t>Repose-pieds, repose-poignets sur demande</t>
        </is>
      </c>
      <c r="E139" s="27" t="inlineStr">
        <is>
          <t>Art. R.4542-7</t>
        </is>
      </c>
      <c r="F139" s="11" t="n"/>
      <c r="G139" s="11" t="n"/>
      <c r="H139" s="11" t="n"/>
      <c r="I139" s="19" t="n"/>
      <c r="J139" s="19" t="n"/>
      <c r="K139" s="19" t="n"/>
      <c r="L139" s="19" t="n"/>
    </row>
    <row r="140">
      <c r="A140" s="25" t="inlineStr">
        <is>
          <t>D. Manutention &amp; TMS</t>
        </is>
      </c>
      <c r="B140" s="25" t="inlineStr">
        <is>
          <t>Écrans (UT1/UT6)</t>
        </is>
      </c>
      <c r="C140" s="26" t="inlineStr">
        <is>
          <t>D.28</t>
        </is>
      </c>
      <c r="D140" s="6" t="inlineStr">
        <is>
          <t>Examen ophtalmologique tous les 5 ans par médecin du travail</t>
        </is>
      </c>
      <c r="E140" s="27" t="inlineStr">
        <is>
          <t>Art. R.4542-17</t>
        </is>
      </c>
      <c r="F140" s="11" t="n"/>
      <c r="G140" s="11" t="n"/>
      <c r="H140" s="11" t="n"/>
      <c r="I140" s="19" t="n"/>
      <c r="J140" s="19" t="n"/>
      <c r="K140" s="19" t="n"/>
      <c r="L140" s="19" t="n"/>
    </row>
    <row r="141">
      <c r="A141" s="25" t="inlineStr">
        <is>
          <t>D. Manutention &amp; TMS</t>
        </is>
      </c>
      <c r="B141" s="25" t="inlineStr">
        <is>
          <t>Écrans (UT1/UT6)</t>
        </is>
      </c>
      <c r="C141" s="26" t="inlineStr">
        <is>
          <t>D.29</t>
        </is>
      </c>
      <c r="D141" s="6" t="inlineStr">
        <is>
          <t>Pause visuelle 5 min / heure (règle des 20/20/20)</t>
        </is>
      </c>
      <c r="E141" s="27" t="inlineStr">
        <is>
          <t>Bonne pratique INRS</t>
        </is>
      </c>
      <c r="F141" s="11" t="n"/>
      <c r="G141" s="11" t="n"/>
      <c r="H141" s="11" t="n"/>
      <c r="I141" s="19" t="n"/>
      <c r="J141" s="19" t="n"/>
      <c r="K141" s="19" t="n"/>
      <c r="L141" s="19" t="n"/>
    </row>
    <row r="142">
      <c r="A142" s="25" t="inlineStr">
        <is>
          <t>D. Manutention &amp; TMS</t>
        </is>
      </c>
      <c r="B142" s="25" t="inlineStr">
        <is>
          <t>Vibrations</t>
        </is>
      </c>
      <c r="C142" s="26" t="inlineStr">
        <is>
          <t>D.30</t>
        </is>
      </c>
      <c r="D142" s="6" t="inlineStr">
        <is>
          <t>Évaluation exposition vibrations main-bras (perceuses, perforateurs)</t>
        </is>
      </c>
      <c r="E142" s="27" t="inlineStr">
        <is>
          <t>Art. R.4444-2</t>
        </is>
      </c>
      <c r="F142" s="11" t="n"/>
      <c r="G142" s="11" t="n"/>
      <c r="H142" s="11" t="n"/>
      <c r="I142" s="19" t="n"/>
      <c r="J142" s="19" t="n"/>
      <c r="K142" s="19" t="n"/>
      <c r="L142" s="19" t="n"/>
    </row>
    <row r="143">
      <c r="A143" s="25" t="inlineStr">
        <is>
          <t>D. Manutention &amp; TMS</t>
        </is>
      </c>
      <c r="B143" s="25" t="inlineStr">
        <is>
          <t>Vibrations</t>
        </is>
      </c>
      <c r="C143" s="26" t="inlineStr">
        <is>
          <t>D.31</t>
        </is>
      </c>
      <c r="D143" s="6" t="inlineStr">
        <is>
          <t>VLEP A(8) = 5 m/s² respectée</t>
        </is>
      </c>
      <c r="E143" s="27" t="inlineStr">
        <is>
          <t>Art. R.4443-1</t>
        </is>
      </c>
      <c r="F143" s="11" t="n"/>
      <c r="G143" s="11" t="n"/>
      <c r="H143" s="11" t="n"/>
      <c r="I143" s="19" t="n"/>
      <c r="J143" s="19" t="n"/>
      <c r="K143" s="19" t="n"/>
      <c r="L143" s="19" t="n"/>
    </row>
    <row r="144">
      <c r="A144" s="25" t="inlineStr">
        <is>
          <t>D. Manutention &amp; TMS</t>
        </is>
      </c>
      <c r="B144" s="25" t="inlineStr">
        <is>
          <t>Vibrations</t>
        </is>
      </c>
      <c r="C144" s="26" t="inlineStr">
        <is>
          <t>D.32</t>
        </is>
      </c>
      <c r="D144" s="6" t="inlineStr">
        <is>
          <t>Achat d'outils à faible niveau de vibration certifié fabricant</t>
        </is>
      </c>
      <c r="E144" s="27" t="inlineStr">
        <is>
          <t>Art. R.4445-1</t>
        </is>
      </c>
      <c r="F144" s="11" t="n"/>
      <c r="G144" s="11" t="n"/>
      <c r="H144" s="11" t="n"/>
      <c r="I144" s="19" t="n"/>
      <c r="J144" s="19" t="n"/>
      <c r="K144" s="19" t="n"/>
      <c r="L144" s="19" t="n"/>
    </row>
    <row r="145">
      <c r="A145" s="25" t="inlineStr">
        <is>
          <t>D. Manutention &amp; TMS</t>
        </is>
      </c>
      <c r="B145" s="25" t="inlineStr">
        <is>
          <t>Vibrations</t>
        </is>
      </c>
      <c r="C145" s="26" t="inlineStr">
        <is>
          <t>D.33</t>
        </is>
      </c>
      <c r="D145" s="6" t="inlineStr">
        <is>
          <t>Rotation des tâches vibrantes entre plusieurs salariés</t>
        </is>
      </c>
      <c r="E145" s="27" t="inlineStr">
        <is>
          <t>Art. R.4445-2</t>
        </is>
      </c>
      <c r="F145" s="11" t="n"/>
      <c r="G145" s="11" t="n"/>
      <c r="H145" s="11" t="n"/>
      <c r="I145" s="19" t="n"/>
      <c r="J145" s="19" t="n"/>
      <c r="K145" s="19" t="n"/>
      <c r="L145" s="19" t="n"/>
    </row>
    <row r="146">
      <c r="A146" s="25" t="inlineStr">
        <is>
          <t>D. Manutention &amp; TMS</t>
        </is>
      </c>
      <c r="B146" s="25" t="inlineStr">
        <is>
          <t>Suivi médical</t>
        </is>
      </c>
      <c r="C146" s="26" t="inlineStr">
        <is>
          <t>D.34</t>
        </is>
      </c>
      <c r="D146" s="6" t="inlineStr">
        <is>
          <t>SIR (suivi individuel renforcé) pour travailleurs exposés TMS</t>
        </is>
      </c>
      <c r="E146" s="27" t="inlineStr">
        <is>
          <t>Art. R.4624-23</t>
        </is>
      </c>
      <c r="F146" s="11" t="n"/>
      <c r="G146" s="11" t="n"/>
      <c r="H146" s="11" t="n"/>
      <c r="I146" s="19" t="n"/>
      <c r="J146" s="19" t="n"/>
      <c r="K146" s="19" t="n"/>
      <c r="L146" s="19" t="n"/>
    </row>
    <row r="147">
      <c r="A147" s="25" t="inlineStr">
        <is>
          <t>D. Manutention &amp; TMS</t>
        </is>
      </c>
      <c r="B147" s="25" t="inlineStr">
        <is>
          <t>Suivi médical</t>
        </is>
      </c>
      <c r="C147" s="26" t="inlineStr">
        <is>
          <t>D.35</t>
        </is>
      </c>
      <c r="D147" s="6" t="inlineStr">
        <is>
          <t>Surveillance médicale renforcée pour &gt; 45 ans manutentionnaires</t>
        </is>
      </c>
      <c r="E147" s="27" t="inlineStr">
        <is>
          <t>Bonne pratique</t>
        </is>
      </c>
      <c r="F147" s="11" t="n"/>
      <c r="G147" s="11" t="n"/>
      <c r="H147" s="11" t="n"/>
      <c r="I147" s="19" t="n"/>
      <c r="J147" s="19" t="n"/>
      <c r="K147" s="19" t="n"/>
      <c r="L147" s="19" t="n"/>
    </row>
    <row r="148">
      <c r="A148" s="25" t="inlineStr">
        <is>
          <t>D. Manutention &amp; TMS</t>
        </is>
      </c>
      <c r="B148" s="25" t="inlineStr">
        <is>
          <t>Pénibilité</t>
        </is>
      </c>
      <c r="C148" s="26" t="inlineStr">
        <is>
          <t>D.36</t>
        </is>
      </c>
      <c r="D148" s="6" t="inlineStr">
        <is>
          <t>Compte professionnel de prévention (C2P) déclaré pour facteurs concernés</t>
        </is>
      </c>
      <c r="E148" s="27" t="inlineStr">
        <is>
          <t>Art. L.4163-1</t>
        </is>
      </c>
      <c r="F148" s="11" t="n"/>
      <c r="G148" s="11" t="n"/>
      <c r="H148" s="11" t="n"/>
      <c r="I148" s="19" t="n"/>
      <c r="J148" s="19" t="n"/>
      <c r="K148" s="19" t="n"/>
      <c r="L148" s="19" t="n"/>
    </row>
    <row r="149">
      <c r="A149" s="21" t="inlineStr">
        <is>
          <t>E. Risque routier</t>
        </is>
      </c>
      <c r="B149" s="21" t="inlineStr">
        <is>
          <t>Évaluation</t>
        </is>
      </c>
      <c r="C149" s="22" t="inlineStr">
        <is>
          <t>E.01</t>
        </is>
      </c>
      <c r="D149" s="23" t="inlineStr">
        <is>
          <t>Risque routier évalué dans le DUERP (mission + trajet)</t>
        </is>
      </c>
      <c r="E149" s="24" t="inlineStr">
        <is>
          <t>Art. L.4121-1</t>
        </is>
      </c>
      <c r="F149" s="11" t="n"/>
      <c r="G149" s="11" t="n"/>
      <c r="H149" s="11" t="n"/>
      <c r="I149" s="19" t="n"/>
      <c r="J149" s="19" t="n"/>
      <c r="K149" s="19" t="n"/>
      <c r="L149" s="19" t="n"/>
    </row>
    <row r="150">
      <c r="A150" s="21" t="inlineStr">
        <is>
          <t>E. Risque routier</t>
        </is>
      </c>
      <c r="B150" s="21" t="inlineStr">
        <is>
          <t>Évaluation</t>
        </is>
      </c>
      <c r="C150" s="22" t="inlineStr">
        <is>
          <t>E.02</t>
        </is>
      </c>
      <c r="D150" s="23" t="inlineStr">
        <is>
          <t>Analyse des déplacements (fréquence, distance, durée, véhicules)</t>
        </is>
      </c>
      <c r="E150" s="24" t="inlineStr">
        <is>
          <t>Reco. CARSAT R.471</t>
        </is>
      </c>
      <c r="F150" s="11" t="n"/>
      <c r="G150" s="11" t="n"/>
      <c r="H150" s="11" t="n"/>
      <c r="I150" s="19" t="n"/>
      <c r="J150" s="19" t="n"/>
      <c r="K150" s="19" t="n"/>
      <c r="L150" s="19" t="n"/>
    </row>
    <row r="151">
      <c r="A151" s="21" t="inlineStr">
        <is>
          <t>E. Risque routier</t>
        </is>
      </c>
      <c r="B151" s="21" t="inlineStr">
        <is>
          <t>Évaluation</t>
        </is>
      </c>
      <c r="C151" s="22" t="inlineStr">
        <is>
          <t>E.03</t>
        </is>
      </c>
      <c r="D151" s="23" t="inlineStr">
        <is>
          <t>Liste précise des conducteurs (chauffeur-livreurs, commerciaux, techniciens)</t>
        </is>
      </c>
      <c r="E151" s="24" t="inlineStr">
        <is>
          <t>Reco. CARSAT R.471</t>
        </is>
      </c>
      <c r="F151" s="11" t="n"/>
      <c r="G151" s="11" t="n"/>
      <c r="H151" s="11" t="n"/>
      <c r="I151" s="19" t="n"/>
      <c r="J151" s="19" t="n"/>
      <c r="K151" s="19" t="n"/>
      <c r="L151" s="19" t="n"/>
    </row>
    <row r="152">
      <c r="A152" s="21" t="inlineStr">
        <is>
          <t>E. Risque routier</t>
        </is>
      </c>
      <c r="B152" s="21" t="inlineStr">
        <is>
          <t>Charte/RI</t>
        </is>
      </c>
      <c r="C152" s="22" t="inlineStr">
        <is>
          <t>E.04</t>
        </is>
      </c>
      <c r="D152" s="23" t="inlineStr">
        <is>
          <t>Charte des déplacements routiers professionnels rédigée et diffusée</t>
        </is>
      </c>
      <c r="E152" s="24" t="inlineStr">
        <is>
          <t>Reco. CARSAT R.471</t>
        </is>
      </c>
      <c r="F152" s="11" t="n"/>
      <c r="G152" s="11" t="n"/>
      <c r="H152" s="11" t="n"/>
      <c r="I152" s="19" t="n"/>
      <c r="J152" s="19" t="n"/>
      <c r="K152" s="19" t="n"/>
      <c r="L152" s="19" t="n"/>
    </row>
    <row r="153">
      <c r="A153" s="21" t="inlineStr">
        <is>
          <t>E. Risque routier</t>
        </is>
      </c>
      <c r="B153" s="21" t="inlineStr">
        <is>
          <t>Charte/RI</t>
        </is>
      </c>
      <c r="C153" s="22" t="inlineStr">
        <is>
          <t>E.05</t>
        </is>
      </c>
      <c r="D153" s="23" t="inlineStr">
        <is>
          <t>Interdiction alcool / stupéfiants au volant inscrite au RI</t>
        </is>
      </c>
      <c r="E153" s="24" t="inlineStr">
        <is>
          <t>Code de la route</t>
        </is>
      </c>
      <c r="F153" s="11" t="n"/>
      <c r="G153" s="11" t="n"/>
      <c r="H153" s="11" t="n"/>
      <c r="I153" s="19" t="n"/>
      <c r="J153" s="19" t="n"/>
      <c r="K153" s="19" t="n"/>
      <c r="L153" s="19" t="n"/>
    </row>
    <row r="154">
      <c r="A154" s="21" t="inlineStr">
        <is>
          <t>E. Risque routier</t>
        </is>
      </c>
      <c r="B154" s="21" t="inlineStr">
        <is>
          <t>Charte/RI</t>
        </is>
      </c>
      <c r="C154" s="22" t="inlineStr">
        <is>
          <t>E.06</t>
        </is>
      </c>
      <c r="D154" s="23" t="inlineStr">
        <is>
          <t>Interdiction téléphone au volant même main-libre</t>
        </is>
      </c>
      <c r="E154" s="24" t="inlineStr">
        <is>
          <t>Art. R.412-6-1 CR</t>
        </is>
      </c>
      <c r="F154" s="11" t="n"/>
      <c r="G154" s="11" t="n"/>
      <c r="H154" s="11" t="n"/>
      <c r="I154" s="19" t="n"/>
      <c r="J154" s="19" t="n"/>
      <c r="K154" s="19" t="n"/>
      <c r="L154" s="19" t="n"/>
    </row>
    <row r="155">
      <c r="A155" s="21" t="inlineStr">
        <is>
          <t>E. Risque routier</t>
        </is>
      </c>
      <c r="B155" s="21" t="inlineStr">
        <is>
          <t>Charte/RI</t>
        </is>
      </c>
      <c r="C155" s="22" t="inlineStr">
        <is>
          <t>E.07</t>
        </is>
      </c>
      <c r="D155" s="23" t="inlineStr">
        <is>
          <t>Pauses obligatoires toutes les 2 h</t>
        </is>
      </c>
      <c r="E155" s="24" t="inlineStr">
        <is>
          <t>Code de la route</t>
        </is>
      </c>
      <c r="F155" s="11" t="n"/>
      <c r="G155" s="11" t="n"/>
      <c r="H155" s="11" t="n"/>
      <c r="I155" s="19" t="n"/>
      <c r="J155" s="19" t="n"/>
      <c r="K155" s="19" t="n"/>
      <c r="L155" s="19" t="n"/>
    </row>
    <row r="156">
      <c r="A156" s="21" t="inlineStr">
        <is>
          <t>E. Risque routier</t>
        </is>
      </c>
      <c r="B156" s="21" t="inlineStr">
        <is>
          <t>Charte/RI</t>
        </is>
      </c>
      <c r="C156" s="22" t="inlineStr">
        <is>
          <t>E.08</t>
        </is>
      </c>
      <c r="D156" s="23" t="inlineStr">
        <is>
          <t>Vitesse adaptée aux conditions (intempéries, fatigue)</t>
        </is>
      </c>
      <c r="E156" s="24" t="inlineStr">
        <is>
          <t>Code de la route</t>
        </is>
      </c>
      <c r="F156" s="11" t="n"/>
      <c r="G156" s="11" t="n"/>
      <c r="H156" s="11" t="n"/>
      <c r="I156" s="19" t="n"/>
      <c r="J156" s="19" t="n"/>
      <c r="K156" s="19" t="n"/>
      <c r="L156" s="19" t="n"/>
    </row>
    <row r="157">
      <c r="A157" s="21" t="inlineStr">
        <is>
          <t>E. Risque routier</t>
        </is>
      </c>
      <c r="B157" s="21" t="inlineStr">
        <is>
          <t>Permis</t>
        </is>
      </c>
      <c r="C157" s="22" t="inlineStr">
        <is>
          <t>E.09</t>
        </is>
      </c>
      <c r="D157" s="23" t="inlineStr">
        <is>
          <t>Vérification annuelle des permis de conduire des salariés</t>
        </is>
      </c>
      <c r="E157" s="24" t="inlineStr">
        <is>
          <t>Reco. CARSAT R.471</t>
        </is>
      </c>
      <c r="F157" s="11" t="n"/>
      <c r="G157" s="11" t="n"/>
      <c r="H157" s="11" t="n"/>
      <c r="I157" s="19" t="n"/>
      <c r="J157" s="19" t="n"/>
      <c r="K157" s="19" t="n"/>
      <c r="L157" s="19" t="n"/>
    </row>
    <row r="158">
      <c r="A158" s="21" t="inlineStr">
        <is>
          <t>E. Risque routier</t>
        </is>
      </c>
      <c r="B158" s="21" t="inlineStr">
        <is>
          <t>Permis</t>
        </is>
      </c>
      <c r="C158" s="22" t="inlineStr">
        <is>
          <t>E.10</t>
        </is>
      </c>
      <c r="D158" s="23" t="inlineStr">
        <is>
          <t>Permis BE pour remorques &gt; 750 kg si applicable</t>
        </is>
      </c>
      <c r="E158" s="24" t="inlineStr">
        <is>
          <t>Code de la route</t>
        </is>
      </c>
      <c r="F158" s="11" t="n"/>
      <c r="G158" s="11" t="n"/>
      <c r="H158" s="11" t="n"/>
      <c r="I158" s="19" t="n"/>
      <c r="J158" s="19" t="n"/>
      <c r="K158" s="19" t="n"/>
      <c r="L158" s="19" t="n"/>
    </row>
    <row r="159">
      <c r="A159" s="21" t="inlineStr">
        <is>
          <t>E. Risque routier</t>
        </is>
      </c>
      <c r="B159" s="21" t="inlineStr">
        <is>
          <t>Permis</t>
        </is>
      </c>
      <c r="C159" s="22" t="inlineStr">
        <is>
          <t>E.11</t>
        </is>
      </c>
      <c r="D159" s="23" t="inlineStr">
        <is>
          <t>Permis C si véhicule &gt; 3,5 tonnes</t>
        </is>
      </c>
      <c r="E159" s="24" t="inlineStr">
        <is>
          <t>Code de la route</t>
        </is>
      </c>
      <c r="F159" s="11" t="n"/>
      <c r="G159" s="11" t="n"/>
      <c r="H159" s="11" t="n"/>
      <c r="I159" s="19" t="n"/>
      <c r="J159" s="19" t="n"/>
      <c r="K159" s="19" t="n"/>
      <c r="L159" s="19" t="n"/>
    </row>
    <row r="160">
      <c r="A160" s="21" t="inlineStr">
        <is>
          <t>E. Risque routier</t>
        </is>
      </c>
      <c r="B160" s="21" t="inlineStr">
        <is>
          <t>Formation</t>
        </is>
      </c>
      <c r="C160" s="22" t="inlineStr">
        <is>
          <t>E.12</t>
        </is>
      </c>
      <c r="D160" s="23" t="inlineStr">
        <is>
          <t>Formation post-permis ou stage CARSAT pour tous conducteurs</t>
        </is>
      </c>
      <c r="E160" s="24" t="inlineStr">
        <is>
          <t>Reco. CARSAT R.471</t>
        </is>
      </c>
      <c r="F160" s="11" t="n"/>
      <c r="G160" s="11" t="n"/>
      <c r="H160" s="11" t="n"/>
      <c r="I160" s="19" t="n"/>
      <c r="J160" s="19" t="n"/>
      <c r="K160" s="19" t="n"/>
      <c r="L160" s="19" t="n"/>
    </row>
    <row r="161">
      <c r="A161" s="21" t="inlineStr">
        <is>
          <t>E. Risque routier</t>
        </is>
      </c>
      <c r="B161" s="21" t="inlineStr">
        <is>
          <t>Formation</t>
        </is>
      </c>
      <c r="C161" s="22" t="inlineStr">
        <is>
          <t>E.13</t>
        </is>
      </c>
      <c r="D161" s="23" t="inlineStr">
        <is>
          <t>Formation éco-conduite et conduite préventive</t>
        </is>
      </c>
      <c r="E161" s="24" t="inlineStr">
        <is>
          <t>Reco. CARSAT R.471</t>
        </is>
      </c>
      <c r="F161" s="11" t="n"/>
      <c r="G161" s="11" t="n"/>
      <c r="H161" s="11" t="n"/>
      <c r="I161" s="19" t="n"/>
      <c r="J161" s="19" t="n"/>
      <c r="K161" s="19" t="n"/>
      <c r="L161" s="19" t="n"/>
    </row>
    <row r="162">
      <c r="A162" s="21" t="inlineStr">
        <is>
          <t>E. Risque routier</t>
        </is>
      </c>
      <c r="B162" s="21" t="inlineStr">
        <is>
          <t>Formation</t>
        </is>
      </c>
      <c r="C162" s="22" t="inlineStr">
        <is>
          <t>E.14</t>
        </is>
      </c>
      <c r="D162" s="23" t="inlineStr">
        <is>
          <t>Sensibilisation annuelle au risque routier (campagnes)</t>
        </is>
      </c>
      <c r="E162" s="24" t="inlineStr">
        <is>
          <t>Bonne pratique</t>
        </is>
      </c>
      <c r="F162" s="11" t="n"/>
      <c r="G162" s="11" t="n"/>
      <c r="H162" s="11" t="n"/>
      <c r="I162" s="19" t="n"/>
      <c r="J162" s="19" t="n"/>
      <c r="K162" s="19" t="n"/>
      <c r="L162" s="19" t="n"/>
    </row>
    <row r="163">
      <c r="A163" s="21" t="inlineStr">
        <is>
          <t>E. Risque routier</t>
        </is>
      </c>
      <c r="B163" s="21" t="inlineStr">
        <is>
          <t>Véhicules</t>
        </is>
      </c>
      <c r="C163" s="22" t="inlineStr">
        <is>
          <t>E.15</t>
        </is>
      </c>
      <c r="D163" s="23" t="inlineStr">
        <is>
          <t>Liste du parc véhicules à jour (marque, immat., conducteur)</t>
        </is>
      </c>
      <c r="E163" s="24" t="inlineStr">
        <is>
          <t>Reco. CARSAT R.471</t>
        </is>
      </c>
      <c r="F163" s="11" t="n"/>
      <c r="G163" s="11" t="n"/>
      <c r="H163" s="11" t="n"/>
      <c r="I163" s="19" t="n"/>
      <c r="J163" s="19" t="n"/>
      <c r="K163" s="19" t="n"/>
      <c r="L163" s="19" t="n"/>
    </row>
    <row r="164">
      <c r="A164" s="21" t="inlineStr">
        <is>
          <t>E. Risque routier</t>
        </is>
      </c>
      <c r="B164" s="21" t="inlineStr">
        <is>
          <t>Véhicules</t>
        </is>
      </c>
      <c r="C164" s="22" t="inlineStr">
        <is>
          <t>E.16</t>
        </is>
      </c>
      <c r="D164" s="23" t="inlineStr">
        <is>
          <t>Carnet d'entretien à jour pour chaque véhicule</t>
        </is>
      </c>
      <c r="E164" s="24" t="inlineStr">
        <is>
          <t>Code de la route</t>
        </is>
      </c>
      <c r="F164" s="11" t="n"/>
      <c r="G164" s="11" t="n"/>
      <c r="H164" s="11" t="n"/>
      <c r="I164" s="19" t="n"/>
      <c r="J164" s="19" t="n"/>
      <c r="K164" s="19" t="n"/>
      <c r="L164" s="19" t="n"/>
    </row>
    <row r="165">
      <c r="A165" s="21" t="inlineStr">
        <is>
          <t>E. Risque routier</t>
        </is>
      </c>
      <c r="B165" s="21" t="inlineStr">
        <is>
          <t>Véhicules</t>
        </is>
      </c>
      <c r="C165" s="22" t="inlineStr">
        <is>
          <t>E.17</t>
        </is>
      </c>
      <c r="D165" s="23" t="inlineStr">
        <is>
          <t>Contrôle technique conforme (validité ≤ 2 ans VL, 1 an VUL &gt; 3,5 t)</t>
        </is>
      </c>
      <c r="E165" s="24" t="inlineStr">
        <is>
          <t>Code de la route</t>
        </is>
      </c>
      <c r="F165" s="11" t="n"/>
      <c r="G165" s="11" t="n"/>
      <c r="H165" s="11" t="n"/>
      <c r="I165" s="19" t="n"/>
      <c r="J165" s="19" t="n"/>
      <c r="K165" s="19" t="n"/>
      <c r="L165" s="19" t="n"/>
    </row>
    <row r="166">
      <c r="A166" s="21" t="inlineStr">
        <is>
          <t>E. Risque routier</t>
        </is>
      </c>
      <c r="B166" s="21" t="inlineStr">
        <is>
          <t>Véhicules</t>
        </is>
      </c>
      <c r="C166" s="22" t="inlineStr">
        <is>
          <t>E.18</t>
        </is>
      </c>
      <c r="D166" s="23" t="inlineStr">
        <is>
          <t>Vérification quotidienne par conducteur (pneus, niveaux, éclairage)</t>
        </is>
      </c>
      <c r="E166" s="24" t="inlineStr">
        <is>
          <t>Bonne pratique</t>
        </is>
      </c>
      <c r="F166" s="11" t="n"/>
      <c r="G166" s="11" t="n"/>
      <c r="H166" s="11" t="n"/>
      <c r="I166" s="19" t="n"/>
      <c r="J166" s="19" t="n"/>
      <c r="K166" s="19" t="n"/>
      <c r="L166" s="19" t="n"/>
    </row>
    <row r="167">
      <c r="A167" s="21" t="inlineStr">
        <is>
          <t>E. Risque routier</t>
        </is>
      </c>
      <c r="B167" s="21" t="inlineStr">
        <is>
          <t>Véhicules</t>
        </is>
      </c>
      <c r="C167" s="22" t="inlineStr">
        <is>
          <t>E.19</t>
        </is>
      </c>
      <c r="D167" s="23" t="inlineStr">
        <is>
          <t>Trousse de secours à jour (date péremption) dans chaque véhicule</t>
        </is>
      </c>
      <c r="E167" s="24" t="inlineStr">
        <is>
          <t>Bonne pratique</t>
        </is>
      </c>
      <c r="F167" s="11" t="n"/>
      <c r="G167" s="11" t="n"/>
      <c r="H167" s="11" t="n"/>
      <c r="I167" s="19" t="n"/>
      <c r="J167" s="19" t="n"/>
      <c r="K167" s="19" t="n"/>
      <c r="L167" s="19" t="n"/>
    </row>
    <row r="168">
      <c r="A168" s="21" t="inlineStr">
        <is>
          <t>E. Risque routier</t>
        </is>
      </c>
      <c r="B168" s="21" t="inlineStr">
        <is>
          <t>Véhicules</t>
        </is>
      </c>
      <c r="C168" s="22" t="inlineStr">
        <is>
          <t>E.20</t>
        </is>
      </c>
      <c r="D168" s="23" t="inlineStr">
        <is>
          <t>Extincteur à eau pulvérisée dans chaque VUL chargé matériel</t>
        </is>
      </c>
      <c r="E168" s="24" t="inlineStr">
        <is>
          <t>Bonne pratique</t>
        </is>
      </c>
      <c r="F168" s="11" t="n"/>
      <c r="G168" s="11" t="n"/>
      <c r="H168" s="11" t="n"/>
      <c r="I168" s="19" t="n"/>
      <c r="J168" s="19" t="n"/>
      <c r="K168" s="19" t="n"/>
      <c r="L168" s="19" t="n"/>
    </row>
    <row r="169">
      <c r="A169" s="21" t="inlineStr">
        <is>
          <t>E. Risque routier</t>
        </is>
      </c>
      <c r="B169" s="21" t="inlineStr">
        <is>
          <t>Véhicules</t>
        </is>
      </c>
      <c r="C169" s="22" t="inlineStr">
        <is>
          <t>E.21</t>
        </is>
      </c>
      <c r="D169" s="23" t="inlineStr">
        <is>
          <t>Gilet haute visibilité + triangle obligatoires</t>
        </is>
      </c>
      <c r="E169" s="24" t="inlineStr">
        <is>
          <t>Code de la route</t>
        </is>
      </c>
      <c r="F169" s="11" t="n"/>
      <c r="G169" s="11" t="n"/>
      <c r="H169" s="11" t="n"/>
      <c r="I169" s="19" t="n"/>
      <c r="J169" s="19" t="n"/>
      <c r="K169" s="19" t="n"/>
      <c r="L169" s="19" t="n"/>
    </row>
    <row r="170">
      <c r="A170" s="21" t="inlineStr">
        <is>
          <t>E. Risque routier</t>
        </is>
      </c>
      <c r="B170" s="21" t="inlineStr">
        <is>
          <t>Véhicules</t>
        </is>
      </c>
      <c r="C170" s="22" t="inlineStr">
        <is>
          <t>E.22</t>
        </is>
      </c>
      <c r="D170" s="23" t="inlineStr">
        <is>
          <t>Séparation habitacle / chargement pour VUL</t>
        </is>
      </c>
      <c r="E170" s="24" t="inlineStr">
        <is>
          <t>Bonne pratique</t>
        </is>
      </c>
      <c r="F170" s="11" t="n"/>
      <c r="G170" s="11" t="n"/>
      <c r="H170" s="11" t="n"/>
      <c r="I170" s="19" t="n"/>
      <c r="J170" s="19" t="n"/>
      <c r="K170" s="19" t="n"/>
      <c r="L170" s="19" t="n"/>
    </row>
    <row r="171">
      <c r="A171" s="21" t="inlineStr">
        <is>
          <t>E. Risque routier</t>
        </is>
      </c>
      <c r="B171" s="21" t="inlineStr">
        <is>
          <t>Véhicules</t>
        </is>
      </c>
      <c r="C171" s="22" t="inlineStr">
        <is>
          <t>E.23</t>
        </is>
      </c>
      <c r="D171" s="23" t="inlineStr">
        <is>
          <t>Systèmes de sécurité (ABS, ESP, airbags, limiteur vitesse)</t>
        </is>
      </c>
      <c r="E171" s="24" t="inlineStr">
        <is>
          <t>Bonne pratique</t>
        </is>
      </c>
      <c r="F171" s="11" t="n"/>
      <c r="G171" s="11" t="n"/>
      <c r="H171" s="11" t="n"/>
      <c r="I171" s="19" t="n"/>
      <c r="J171" s="19" t="n"/>
      <c r="K171" s="19" t="n"/>
      <c r="L171" s="19" t="n"/>
    </row>
    <row r="172">
      <c r="A172" s="21" t="inlineStr">
        <is>
          <t>E. Risque routier</t>
        </is>
      </c>
      <c r="B172" s="21" t="inlineStr">
        <is>
          <t>Arrimage</t>
        </is>
      </c>
      <c r="C172" s="22" t="inlineStr">
        <is>
          <t>E.24</t>
        </is>
      </c>
      <c r="D172" s="23" t="inlineStr">
        <is>
          <t>Formation arrimage charges (sangles, blocages, points d'ancrage)</t>
        </is>
      </c>
      <c r="E172" s="24" t="inlineStr">
        <is>
          <t>Reco. CARSAT R.471</t>
        </is>
      </c>
      <c r="F172" s="11" t="n"/>
      <c r="G172" s="11" t="n"/>
      <c r="H172" s="11" t="n"/>
      <c r="I172" s="19" t="n"/>
      <c r="J172" s="19" t="n"/>
      <c r="K172" s="19" t="n"/>
      <c r="L172" s="19" t="n"/>
    </row>
    <row r="173">
      <c r="A173" s="21" t="inlineStr">
        <is>
          <t>E. Risque routier</t>
        </is>
      </c>
      <c r="B173" s="21" t="inlineStr">
        <is>
          <t>Arrimage</t>
        </is>
      </c>
      <c r="C173" s="22" t="inlineStr">
        <is>
          <t>E.25</t>
        </is>
      </c>
      <c r="D173" s="23" t="inlineStr">
        <is>
          <t>Sangles d'arrimage conformes (NF EN 12195-2) avec étiquetage charge utile</t>
        </is>
      </c>
      <c r="E173" s="24" t="inlineStr">
        <is>
          <t>NF EN 12195</t>
        </is>
      </c>
      <c r="F173" s="11" t="n"/>
      <c r="G173" s="11" t="n"/>
      <c r="H173" s="11" t="n"/>
      <c r="I173" s="19" t="n"/>
      <c r="J173" s="19" t="n"/>
      <c r="K173" s="19" t="n"/>
      <c r="L173" s="19" t="n"/>
    </row>
    <row r="174">
      <c r="A174" s="21" t="inlineStr">
        <is>
          <t>E. Risque routier</t>
        </is>
      </c>
      <c r="B174" s="21" t="inlineStr">
        <is>
          <t>Arrimage</t>
        </is>
      </c>
      <c r="C174" s="22" t="inlineStr">
        <is>
          <t>E.26</t>
        </is>
      </c>
      <c r="D174" s="23" t="inlineStr">
        <is>
          <t>Bouteilles de gaz (acétylène) transportées en position verticale et arrimées</t>
        </is>
      </c>
      <c r="E174" s="24" t="inlineStr">
        <is>
          <t>ADR</t>
        </is>
      </c>
      <c r="F174" s="11" t="n"/>
      <c r="G174" s="11" t="n"/>
      <c r="H174" s="11" t="n"/>
      <c r="I174" s="19" t="n"/>
      <c r="J174" s="19" t="n"/>
      <c r="K174" s="19" t="n"/>
      <c r="L174" s="19" t="n"/>
    </row>
    <row r="175">
      <c r="A175" s="21" t="inlineStr">
        <is>
          <t>E. Risque routier</t>
        </is>
      </c>
      <c r="B175" s="21" t="inlineStr">
        <is>
          <t>Organisation</t>
        </is>
      </c>
      <c r="C175" s="22" t="inlineStr">
        <is>
          <t>E.27</t>
        </is>
      </c>
      <c r="D175" s="23" t="inlineStr">
        <is>
          <t>Optimisation des tournées (regroupement géographique)</t>
        </is>
      </c>
      <c r="E175" s="24" t="inlineStr">
        <is>
          <t>Reco. CARSAT R.471</t>
        </is>
      </c>
      <c r="F175" s="11" t="n"/>
      <c r="G175" s="11" t="n"/>
      <c r="H175" s="11" t="n"/>
      <c r="I175" s="19" t="n"/>
      <c r="J175" s="19" t="n"/>
      <c r="K175" s="19" t="n"/>
      <c r="L175" s="19" t="n"/>
    </row>
    <row r="176">
      <c r="A176" s="21" t="inlineStr">
        <is>
          <t>E. Risque routier</t>
        </is>
      </c>
      <c r="B176" s="21" t="inlineStr">
        <is>
          <t>Organisation</t>
        </is>
      </c>
      <c r="C176" s="22" t="inlineStr">
        <is>
          <t>E.28</t>
        </is>
      </c>
      <c r="D176" s="23" t="inlineStr">
        <is>
          <t>Feuille de route fournie pour déplacements longs</t>
        </is>
      </c>
      <c r="E176" s="24" t="inlineStr">
        <is>
          <t>Reco. CARSAT R.471</t>
        </is>
      </c>
      <c r="F176" s="11" t="n"/>
      <c r="G176" s="11" t="n"/>
      <c r="H176" s="11" t="n"/>
      <c r="I176" s="19" t="n"/>
      <c r="J176" s="19" t="n"/>
      <c r="K176" s="19" t="n"/>
      <c r="L176" s="19" t="n"/>
    </row>
    <row r="177">
      <c r="A177" s="21" t="inlineStr">
        <is>
          <t>E. Risque routier</t>
        </is>
      </c>
      <c r="B177" s="21" t="inlineStr">
        <is>
          <t>Organisation</t>
        </is>
      </c>
      <c r="C177" s="22" t="inlineStr">
        <is>
          <t>E.29</t>
        </is>
      </c>
      <c r="D177" s="23" t="inlineStr">
        <is>
          <t>Audio/visioconférence privilégiée si possible</t>
        </is>
      </c>
      <c r="E177" s="24" t="inlineStr">
        <is>
          <t>Bonne pratique</t>
        </is>
      </c>
      <c r="F177" s="11" t="n"/>
      <c r="G177" s="11" t="n"/>
      <c r="H177" s="11" t="n"/>
      <c r="I177" s="19" t="n"/>
      <c r="J177" s="19" t="n"/>
      <c r="K177" s="19" t="n"/>
      <c r="L177" s="19" t="n"/>
    </row>
    <row r="178">
      <c r="A178" s="21" t="inlineStr">
        <is>
          <t>E. Risque routier</t>
        </is>
      </c>
      <c r="B178" s="21" t="inlineStr">
        <is>
          <t>Organisation</t>
        </is>
      </c>
      <c r="C178" s="22" t="inlineStr">
        <is>
          <t>E.30</t>
        </is>
      </c>
      <c r="D178" s="23" t="inlineStr">
        <is>
          <t>Limitation des déplacements &gt; certaine distance ou temps de conduite</t>
        </is>
      </c>
      <c r="E178" s="24" t="inlineStr">
        <is>
          <t>Reco. CARSAT R.471</t>
        </is>
      </c>
      <c r="F178" s="11" t="n"/>
      <c r="G178" s="11" t="n"/>
      <c r="H178" s="11" t="n"/>
      <c r="I178" s="19" t="n"/>
      <c r="J178" s="19" t="n"/>
      <c r="K178" s="19" t="n"/>
      <c r="L178" s="19" t="n"/>
    </row>
    <row r="179">
      <c r="A179" s="21" t="inlineStr">
        <is>
          <t>E. Risque routier</t>
        </is>
      </c>
      <c r="B179" s="21" t="inlineStr">
        <is>
          <t>Trajet domicile-travail</t>
        </is>
      </c>
      <c r="C179" s="22" t="inlineStr">
        <is>
          <t>E.31</t>
        </is>
      </c>
      <c r="D179" s="23" t="inlineStr">
        <is>
          <t>Sensibilisation annuelle aux trajets domicile-travail</t>
        </is>
      </c>
      <c r="E179" s="24" t="inlineStr">
        <is>
          <t>Art. L.411-2 CSS</t>
        </is>
      </c>
      <c r="F179" s="11" t="n"/>
      <c r="G179" s="11" t="n"/>
      <c r="H179" s="11" t="n"/>
      <c r="I179" s="19" t="n"/>
      <c r="J179" s="19" t="n"/>
      <c r="K179" s="19" t="n"/>
      <c r="L179" s="19" t="n"/>
    </row>
    <row r="180">
      <c r="A180" s="21" t="inlineStr">
        <is>
          <t>E. Risque routier</t>
        </is>
      </c>
      <c r="B180" s="21" t="inlineStr">
        <is>
          <t>Trajet domicile-travail</t>
        </is>
      </c>
      <c r="C180" s="22" t="inlineStr">
        <is>
          <t>E.32</t>
        </is>
      </c>
      <c r="D180" s="23" t="inlineStr">
        <is>
          <t>Étude faisabilité télétravail partiel (UT1)</t>
        </is>
      </c>
      <c r="E180" s="24" t="inlineStr">
        <is>
          <t>Bonne pratique</t>
        </is>
      </c>
      <c r="F180" s="11" t="n"/>
      <c r="G180" s="11" t="n"/>
      <c r="H180" s="11" t="n"/>
      <c r="I180" s="19" t="n"/>
      <c r="J180" s="19" t="n"/>
      <c r="K180" s="19" t="n"/>
      <c r="L180" s="19" t="n"/>
    </row>
    <row r="181">
      <c r="A181" s="21" t="inlineStr">
        <is>
          <t>E. Risque routier</t>
        </is>
      </c>
      <c r="B181" s="21" t="inlineStr">
        <is>
          <t>Analyse AT</t>
        </is>
      </c>
      <c r="C181" s="22" t="inlineStr">
        <is>
          <t>E.33</t>
        </is>
      </c>
      <c r="D181" s="23" t="inlineStr">
        <is>
          <t>Analyse systématique des accidents et constats amiables</t>
        </is>
      </c>
      <c r="E181" s="24" t="inlineStr">
        <is>
          <t>Reco. CARSAT R.471</t>
        </is>
      </c>
      <c r="F181" s="11" t="n"/>
      <c r="G181" s="11" t="n"/>
      <c r="H181" s="11" t="n"/>
      <c r="I181" s="19" t="n"/>
      <c r="J181" s="19" t="n"/>
      <c r="K181" s="19" t="n"/>
      <c r="L181" s="19" t="n"/>
    </row>
    <row r="182">
      <c r="A182" s="21" t="inlineStr">
        <is>
          <t>E. Risque routier</t>
        </is>
      </c>
      <c r="B182" s="21" t="inlineStr">
        <is>
          <t>Analyse AT</t>
        </is>
      </c>
      <c r="C182" s="22" t="inlineStr">
        <is>
          <t>E.34</t>
        </is>
      </c>
      <c r="D182" s="23" t="inlineStr">
        <is>
          <t>Arbre des causes pour chaque AT routier grave</t>
        </is>
      </c>
      <c r="E182" s="24" t="inlineStr">
        <is>
          <t>Méthode INRS</t>
        </is>
      </c>
      <c r="F182" s="11" t="n"/>
      <c r="G182" s="11" t="n"/>
      <c r="H182" s="11" t="n"/>
      <c r="I182" s="19" t="n"/>
      <c r="J182" s="19" t="n"/>
      <c r="K182" s="19" t="n"/>
      <c r="L182" s="19" t="n"/>
    </row>
    <row r="183">
      <c r="A183" s="21" t="inlineStr">
        <is>
          <t>E. Risque routier</t>
        </is>
      </c>
      <c r="B183" s="21" t="inlineStr">
        <is>
          <t>Conduite d'urgence</t>
        </is>
      </c>
      <c r="C183" s="22" t="inlineStr">
        <is>
          <t>E.35</t>
        </is>
      </c>
      <c r="D183" s="23" t="inlineStr">
        <is>
          <t>Affichage conduite à tenir en cas d'accident dans chaque véhicule</t>
        </is>
      </c>
      <c r="E183" s="24" t="inlineStr">
        <is>
          <t>Bonne pratique</t>
        </is>
      </c>
      <c r="F183" s="11" t="n"/>
      <c r="G183" s="11" t="n"/>
      <c r="H183" s="11" t="n"/>
      <c r="I183" s="19" t="n"/>
      <c r="J183" s="19" t="n"/>
      <c r="K183" s="19" t="n"/>
      <c r="L183" s="19" t="n"/>
    </row>
    <row r="184">
      <c r="A184" s="25" t="inlineStr">
        <is>
          <t>F. Risque chimique &amp; poussières</t>
        </is>
      </c>
      <c r="B184" s="25" t="inlineStr">
        <is>
          <t>Inventaire</t>
        </is>
      </c>
      <c r="C184" s="26" t="inlineStr">
        <is>
          <t>F.01</t>
        </is>
      </c>
      <c r="D184" s="6" t="inlineStr">
        <is>
          <t>Inventaire exhaustif des produits chimiques utilisés</t>
        </is>
      </c>
      <c r="E184" s="27" t="inlineStr">
        <is>
          <t>Art. R.4412-5</t>
        </is>
      </c>
      <c r="F184" s="11" t="n"/>
      <c r="G184" s="11" t="n"/>
      <c r="H184" s="11" t="n"/>
      <c r="I184" s="19" t="n"/>
      <c r="J184" s="19" t="n"/>
      <c r="K184" s="19" t="n"/>
      <c r="L184" s="19" t="n"/>
    </row>
    <row r="185">
      <c r="A185" s="25" t="inlineStr">
        <is>
          <t>F. Risque chimique &amp; poussières</t>
        </is>
      </c>
      <c r="B185" s="25" t="inlineStr">
        <is>
          <t>Inventaire</t>
        </is>
      </c>
      <c r="C185" s="26" t="inlineStr">
        <is>
          <t>F.02</t>
        </is>
      </c>
      <c r="D185" s="6" t="inlineStr">
        <is>
          <t>Mise à jour annuelle de l'inventaire</t>
        </is>
      </c>
      <c r="E185" s="27" t="inlineStr">
        <is>
          <t>Bonne pratique</t>
        </is>
      </c>
      <c r="F185" s="11" t="n"/>
      <c r="G185" s="11" t="n"/>
      <c r="H185" s="11" t="n"/>
      <c r="I185" s="19" t="n"/>
      <c r="J185" s="19" t="n"/>
      <c r="K185" s="19" t="n"/>
      <c r="L185" s="19" t="n"/>
    </row>
    <row r="186">
      <c r="A186" s="25" t="inlineStr">
        <is>
          <t>F. Risque chimique &amp; poussières</t>
        </is>
      </c>
      <c r="B186" s="25" t="inlineStr">
        <is>
          <t>FDS</t>
        </is>
      </c>
      <c r="C186" s="26" t="inlineStr">
        <is>
          <t>F.03</t>
        </is>
      </c>
      <c r="D186" s="6" t="inlineStr">
        <is>
          <t>FDS disponibles pour chaque produit (&lt; 5 ans, en français)</t>
        </is>
      </c>
      <c r="E186" s="27" t="inlineStr">
        <is>
          <t>Art. R.4412-6</t>
        </is>
      </c>
      <c r="F186" s="11" t="n"/>
      <c r="G186" s="11" t="n"/>
      <c r="H186" s="11" t="n"/>
      <c r="I186" s="19" t="n"/>
      <c r="J186" s="19" t="n"/>
      <c r="K186" s="19" t="n"/>
      <c r="L186" s="19" t="n"/>
    </row>
    <row r="187">
      <c r="A187" s="25" t="inlineStr">
        <is>
          <t>F. Risque chimique &amp; poussières</t>
        </is>
      </c>
      <c r="B187" s="25" t="inlineStr">
        <is>
          <t>FDS</t>
        </is>
      </c>
      <c r="C187" s="26" t="inlineStr">
        <is>
          <t>F.04</t>
        </is>
      </c>
      <c r="D187" s="6" t="inlineStr">
        <is>
          <t>FDS transmises au médecin du travail</t>
        </is>
      </c>
      <c r="E187" s="27" t="inlineStr">
        <is>
          <t>Art. R.4624-46</t>
        </is>
      </c>
      <c r="F187" s="11" t="n"/>
      <c r="G187" s="11" t="n"/>
      <c r="H187" s="11" t="n"/>
      <c r="I187" s="19" t="n"/>
      <c r="J187" s="19" t="n"/>
      <c r="K187" s="19" t="n"/>
      <c r="L187" s="19" t="n"/>
    </row>
    <row r="188">
      <c r="A188" s="25" t="inlineStr">
        <is>
          <t>F. Risque chimique &amp; poussières</t>
        </is>
      </c>
      <c r="B188" s="25" t="inlineStr">
        <is>
          <t>FDS</t>
        </is>
      </c>
      <c r="C188" s="26" t="inlineStr">
        <is>
          <t>F.05</t>
        </is>
      </c>
      <c r="D188" s="6" t="inlineStr">
        <is>
          <t>FDS accessibles aux travailleurs au poste de travail</t>
        </is>
      </c>
      <c r="E188" s="27" t="inlineStr">
        <is>
          <t>Art. R.4412-38</t>
        </is>
      </c>
      <c r="F188" s="11" t="n"/>
      <c r="G188" s="11" t="n"/>
      <c r="H188" s="11" t="n"/>
      <c r="I188" s="19" t="n"/>
      <c r="J188" s="19" t="n"/>
      <c r="K188" s="19" t="n"/>
      <c r="L188" s="19" t="n"/>
    </row>
    <row r="189">
      <c r="A189" s="25" t="inlineStr">
        <is>
          <t>F. Risque chimique &amp; poussières</t>
        </is>
      </c>
      <c r="B189" s="25" t="inlineStr">
        <is>
          <t>Étiquetage</t>
        </is>
      </c>
      <c r="C189" s="26" t="inlineStr">
        <is>
          <t>F.06</t>
        </is>
      </c>
      <c r="D189" s="6" t="inlineStr">
        <is>
          <t>Étiquetage CLP conforme (pictogrammes, mentions H et P)</t>
        </is>
      </c>
      <c r="E189" s="27" t="inlineStr">
        <is>
          <t>Règl. CE 1272/2008</t>
        </is>
      </c>
      <c r="F189" s="11" t="n"/>
      <c r="G189" s="11" t="n"/>
      <c r="H189" s="11" t="n"/>
      <c r="I189" s="19" t="n"/>
      <c r="J189" s="19" t="n"/>
      <c r="K189" s="19" t="n"/>
      <c r="L189" s="19" t="n"/>
    </row>
    <row r="190">
      <c r="A190" s="25" t="inlineStr">
        <is>
          <t>F. Risque chimique &amp; poussières</t>
        </is>
      </c>
      <c r="B190" s="25" t="inlineStr">
        <is>
          <t>Étiquetage</t>
        </is>
      </c>
      <c r="C190" s="26" t="inlineStr">
        <is>
          <t>F.07</t>
        </is>
      </c>
      <c r="D190" s="6" t="inlineStr">
        <is>
          <t>Étiquetage de tous les contenants secondaires (transvasement)</t>
        </is>
      </c>
      <c r="E190" s="27" t="inlineStr">
        <is>
          <t>Art. R.4412-39</t>
        </is>
      </c>
      <c r="F190" s="11" t="n"/>
      <c r="G190" s="11" t="n"/>
      <c r="H190" s="11" t="n"/>
      <c r="I190" s="19" t="n"/>
      <c r="J190" s="19" t="n"/>
      <c r="K190" s="19" t="n"/>
      <c r="L190" s="19" t="n"/>
    </row>
    <row r="191">
      <c r="A191" s="25" t="inlineStr">
        <is>
          <t>F. Risque chimique &amp; poussières</t>
        </is>
      </c>
      <c r="B191" s="25" t="inlineStr">
        <is>
          <t>Étiquetage</t>
        </is>
      </c>
      <c r="C191" s="26" t="inlineStr">
        <is>
          <t>F.08</t>
        </is>
      </c>
      <c r="D191" s="6" t="inlineStr">
        <is>
          <t>Affichage des pictogrammes de danger à chaque zone à risque</t>
        </is>
      </c>
      <c r="E191" s="27" t="inlineStr">
        <is>
          <t>Bonne pratique</t>
        </is>
      </c>
      <c r="F191" s="11" t="n"/>
      <c r="G191" s="11" t="n"/>
      <c r="H191" s="11" t="n"/>
      <c r="I191" s="19" t="n"/>
      <c r="J191" s="19" t="n"/>
      <c r="K191" s="19" t="n"/>
      <c r="L191" s="19" t="n"/>
    </row>
    <row r="192">
      <c r="A192" s="25" t="inlineStr">
        <is>
          <t>F. Risque chimique &amp; poussières</t>
        </is>
      </c>
      <c r="B192" s="25" t="inlineStr">
        <is>
          <t>Substitution</t>
        </is>
      </c>
      <c r="C192" s="26" t="inlineStr">
        <is>
          <t>F.09</t>
        </is>
      </c>
      <c r="D192" s="6" t="inlineStr">
        <is>
          <t>Démarche de substitution des CMR (cancérogène, mutagène, repro)</t>
        </is>
      </c>
      <c r="E192" s="27" t="inlineStr">
        <is>
          <t>Art. R.4412-66</t>
        </is>
      </c>
      <c r="F192" s="11" t="n"/>
      <c r="G192" s="11" t="n"/>
      <c r="H192" s="11" t="n"/>
      <c r="I192" s="19" t="n"/>
      <c r="J192" s="19" t="n"/>
      <c r="K192" s="19" t="n"/>
      <c r="L192" s="19" t="n"/>
    </row>
    <row r="193">
      <c r="A193" s="25" t="inlineStr">
        <is>
          <t>F. Risque chimique &amp; poussières</t>
        </is>
      </c>
      <c r="B193" s="25" t="inlineStr">
        <is>
          <t>Substitution</t>
        </is>
      </c>
      <c r="C193" s="26" t="inlineStr">
        <is>
          <t>F.10</t>
        </is>
      </c>
      <c r="D193" s="6" t="inlineStr">
        <is>
          <t>Démarche de substitution des produits dangereux par produits moins dangereux</t>
        </is>
      </c>
      <c r="E193" s="27" t="inlineStr">
        <is>
          <t>Art. L.4121-2</t>
        </is>
      </c>
      <c r="F193" s="11" t="n"/>
      <c r="G193" s="11" t="n"/>
      <c r="H193" s="11" t="n"/>
      <c r="I193" s="19" t="n"/>
      <c r="J193" s="19" t="n"/>
      <c r="K193" s="19" t="n"/>
      <c r="L193" s="19" t="n"/>
    </row>
    <row r="194">
      <c r="A194" s="25" t="inlineStr">
        <is>
          <t>F. Risque chimique &amp; poussières</t>
        </is>
      </c>
      <c r="B194" s="25" t="inlineStr">
        <is>
          <t>Stockage</t>
        </is>
      </c>
      <c r="C194" s="26" t="inlineStr">
        <is>
          <t>F.11</t>
        </is>
      </c>
      <c r="D194" s="6" t="inlineStr">
        <is>
          <t>Stockage en local dédié ventilé, fermé à clé</t>
        </is>
      </c>
      <c r="E194" s="27" t="inlineStr">
        <is>
          <t>Art. R.4412-17</t>
        </is>
      </c>
      <c r="F194" s="11" t="n"/>
      <c r="G194" s="11" t="n"/>
      <c r="H194" s="11" t="n"/>
      <c r="I194" s="19" t="n"/>
      <c r="J194" s="19" t="n"/>
      <c r="K194" s="19" t="n"/>
      <c r="L194" s="19" t="n"/>
    </row>
    <row r="195">
      <c r="A195" s="25" t="inlineStr">
        <is>
          <t>F. Risque chimique &amp; poussières</t>
        </is>
      </c>
      <c r="B195" s="25" t="inlineStr">
        <is>
          <t>Stockage</t>
        </is>
      </c>
      <c r="C195" s="26" t="inlineStr">
        <is>
          <t>F.12</t>
        </is>
      </c>
      <c r="D195" s="6" t="inlineStr">
        <is>
          <t>Bacs de rétention (1/3 du volume stocké minimum)</t>
        </is>
      </c>
      <c r="E195" s="27" t="inlineStr">
        <is>
          <t>Art. R.4412-17</t>
        </is>
      </c>
      <c r="F195" s="11" t="n"/>
      <c r="G195" s="11" t="n"/>
      <c r="H195" s="11" t="n"/>
      <c r="I195" s="19" t="n"/>
      <c r="J195" s="19" t="n"/>
      <c r="K195" s="19" t="n"/>
      <c r="L195" s="19" t="n"/>
    </row>
    <row r="196">
      <c r="A196" s="25" t="inlineStr">
        <is>
          <t>F. Risque chimique &amp; poussières</t>
        </is>
      </c>
      <c r="B196" s="25" t="inlineStr">
        <is>
          <t>Stockage</t>
        </is>
      </c>
      <c r="C196" s="26" t="inlineStr">
        <is>
          <t>F.13</t>
        </is>
      </c>
      <c r="D196" s="6" t="inlineStr">
        <is>
          <t>Séparation des produits incompatibles (inflammable / comburant / acide / base)</t>
        </is>
      </c>
      <c r="E196" s="27" t="inlineStr">
        <is>
          <t>Art. R.4412-17</t>
        </is>
      </c>
      <c r="F196" s="11" t="n"/>
      <c r="G196" s="11" t="n"/>
      <c r="H196" s="11" t="n"/>
      <c r="I196" s="19" t="n"/>
      <c r="J196" s="19" t="n"/>
      <c r="K196" s="19" t="n"/>
      <c r="L196" s="19" t="n"/>
    </row>
    <row r="197">
      <c r="A197" s="25" t="inlineStr">
        <is>
          <t>F. Risque chimique &amp; poussières</t>
        </is>
      </c>
      <c r="B197" s="25" t="inlineStr">
        <is>
          <t>Stockage</t>
        </is>
      </c>
      <c r="C197" s="26" t="inlineStr">
        <is>
          <t>F.14</t>
        </is>
      </c>
      <c r="D197" s="6" t="inlineStr">
        <is>
          <t>Ventilation efficace du local de stockage</t>
        </is>
      </c>
      <c r="E197" s="27" t="inlineStr">
        <is>
          <t>Art. R.4412-17</t>
        </is>
      </c>
      <c r="F197" s="11" t="n"/>
      <c r="G197" s="11" t="n"/>
      <c r="H197" s="11" t="n"/>
      <c r="I197" s="19" t="n"/>
      <c r="J197" s="19" t="n"/>
      <c r="K197" s="19" t="n"/>
      <c r="L197" s="19" t="n"/>
    </row>
    <row r="198">
      <c r="A198" s="25" t="inlineStr">
        <is>
          <t>F. Risque chimique &amp; poussières</t>
        </is>
      </c>
      <c r="B198" s="25" t="inlineStr">
        <is>
          <t>Stockage</t>
        </is>
      </c>
      <c r="C198" s="26" t="inlineStr">
        <is>
          <t>F.15</t>
        </is>
      </c>
      <c r="D198" s="6" t="inlineStr">
        <is>
          <t>Aucun stockage en hauteur de produits dangereux &gt; 1,80 m</t>
        </is>
      </c>
      <c r="E198" s="27" t="inlineStr">
        <is>
          <t>Bonne pratique</t>
        </is>
      </c>
      <c r="F198" s="11" t="n"/>
      <c r="G198" s="11" t="n"/>
      <c r="H198" s="11" t="n"/>
      <c r="I198" s="19" t="n"/>
      <c r="J198" s="19" t="n"/>
      <c r="K198" s="19" t="n"/>
      <c r="L198" s="19" t="n"/>
    </row>
    <row r="199">
      <c r="A199" s="25" t="inlineStr">
        <is>
          <t>F. Risque chimique &amp; poussières</t>
        </is>
      </c>
      <c r="B199" s="25" t="inlineStr">
        <is>
          <t>Batteries SSI</t>
        </is>
      </c>
      <c r="C199" s="26" t="inlineStr">
        <is>
          <t>F.16</t>
        </is>
      </c>
      <c r="D199" s="6" t="inlineStr">
        <is>
          <t>Procédure remplacement batteries (EPI, déconnexion, bac de rétention)</t>
        </is>
      </c>
      <c r="E199" s="27" t="inlineStr">
        <is>
          <t>Bonne pratique</t>
        </is>
      </c>
      <c r="F199" s="11" t="n"/>
      <c r="G199" s="11" t="n"/>
      <c r="H199" s="11" t="n"/>
      <c r="I199" s="19" t="n"/>
      <c r="J199" s="19" t="n"/>
      <c r="K199" s="19" t="n"/>
      <c r="L199" s="19" t="n"/>
    </row>
    <row r="200">
      <c r="A200" s="25" t="inlineStr">
        <is>
          <t>F. Risque chimique &amp; poussières</t>
        </is>
      </c>
      <c r="B200" s="25" t="inlineStr">
        <is>
          <t>Batteries SSI</t>
        </is>
      </c>
      <c r="C200" s="26" t="inlineStr">
        <is>
          <t>F.17</t>
        </is>
      </c>
      <c r="D200" s="6" t="inlineStr">
        <is>
          <t>Filière agréée recyclage batteries (DEEE / Screlec)</t>
        </is>
      </c>
      <c r="E200" s="27" t="inlineStr">
        <is>
          <t>Art. R.543-127</t>
        </is>
      </c>
      <c r="F200" s="11" t="n"/>
      <c r="G200" s="11" t="n"/>
      <c r="H200" s="11" t="n"/>
      <c r="I200" s="19" t="n"/>
      <c r="J200" s="19" t="n"/>
      <c r="K200" s="19" t="n"/>
      <c r="L200" s="19" t="n"/>
    </row>
    <row r="201">
      <c r="A201" s="25" t="inlineStr">
        <is>
          <t>F. Risque chimique &amp; poussières</t>
        </is>
      </c>
      <c r="B201" s="25" t="inlineStr">
        <is>
          <t>Batteries SSI</t>
        </is>
      </c>
      <c r="C201" s="26" t="inlineStr">
        <is>
          <t>F.18</t>
        </is>
      </c>
      <c r="D201" s="6" t="inlineStr">
        <is>
          <t>Procédure spécifique Li-ion (stockage ignifuge, identification défauts)</t>
        </is>
      </c>
      <c r="E201" s="27" t="inlineStr">
        <is>
          <t>INRS ED 6321</t>
        </is>
      </c>
      <c r="F201" s="11" t="n"/>
      <c r="G201" s="11" t="n"/>
      <c r="H201" s="11" t="n"/>
      <c r="I201" s="19" t="n"/>
      <c r="J201" s="19" t="n"/>
      <c r="K201" s="19" t="n"/>
      <c r="L201" s="19" t="n"/>
    </row>
    <row r="202">
      <c r="A202" s="25" t="inlineStr">
        <is>
          <t>F. Risque chimique &amp; poussières</t>
        </is>
      </c>
      <c r="B202" s="25" t="inlineStr">
        <is>
          <t>Batteries SSI</t>
        </is>
      </c>
      <c r="C202" s="26" t="inlineStr">
        <is>
          <t>F.19</t>
        </is>
      </c>
      <c r="D202" s="6" t="inlineStr">
        <is>
          <t>Formation aux gestes d'urgence projection acide (rinçage &gt; 15 min)</t>
        </is>
      </c>
      <c r="E202" s="27" t="inlineStr">
        <is>
          <t>Art. R.4412-23</t>
        </is>
      </c>
      <c r="F202" s="11" t="n"/>
      <c r="G202" s="11" t="n"/>
      <c r="H202" s="11" t="n"/>
      <c r="I202" s="19" t="n"/>
      <c r="J202" s="19" t="n"/>
      <c r="K202" s="19" t="n"/>
      <c r="L202" s="19" t="n"/>
    </row>
    <row r="203">
      <c r="A203" s="25" t="inlineStr">
        <is>
          <t>F. Risque chimique &amp; poussières</t>
        </is>
      </c>
      <c r="B203" s="25" t="inlineStr">
        <is>
          <t>EPI chimique</t>
        </is>
      </c>
      <c r="C203" s="26" t="inlineStr">
        <is>
          <t>F.20</t>
        </is>
      </c>
      <c r="D203" s="6" t="inlineStr">
        <is>
          <t>Gants nitrile pour acide / EPDM pour solvants (NF EN 374)</t>
        </is>
      </c>
      <c r="E203" s="27" t="inlineStr">
        <is>
          <t>NF EN 374</t>
        </is>
      </c>
      <c r="F203" s="11" t="n"/>
      <c r="G203" s="11" t="n"/>
      <c r="H203" s="11" t="n"/>
      <c r="I203" s="19" t="n"/>
      <c r="J203" s="19" t="n"/>
      <c r="K203" s="19" t="n"/>
      <c r="L203" s="19" t="n"/>
    </row>
    <row r="204">
      <c r="A204" s="25" t="inlineStr">
        <is>
          <t>F. Risque chimique &amp; poussières</t>
        </is>
      </c>
      <c r="B204" s="25" t="inlineStr">
        <is>
          <t>EPI chimique</t>
        </is>
      </c>
      <c r="C204" s="26" t="inlineStr">
        <is>
          <t>F.21</t>
        </is>
      </c>
      <c r="D204" s="6" t="inlineStr">
        <is>
          <t>Lunettes coques / écran facial selon produit</t>
        </is>
      </c>
      <c r="E204" s="27" t="inlineStr">
        <is>
          <t>NF EN 166</t>
        </is>
      </c>
      <c r="F204" s="11" t="n"/>
      <c r="G204" s="11" t="n"/>
      <c r="H204" s="11" t="n"/>
      <c r="I204" s="19" t="n"/>
      <c r="J204" s="19" t="n"/>
      <c r="K204" s="19" t="n"/>
      <c r="L204" s="19" t="n"/>
    </row>
    <row r="205">
      <c r="A205" s="25" t="inlineStr">
        <is>
          <t>F. Risque chimique &amp; poussières</t>
        </is>
      </c>
      <c r="B205" s="25" t="inlineStr">
        <is>
          <t>EPI chimique</t>
        </is>
      </c>
      <c r="C205" s="26" t="inlineStr">
        <is>
          <t>F.22</t>
        </is>
      </c>
      <c r="D205" s="6" t="inlineStr">
        <is>
          <t>Tablier ou combinaison chimique pour grandes quantités</t>
        </is>
      </c>
      <c r="E205" s="27" t="inlineStr">
        <is>
          <t>NF EN 14605</t>
        </is>
      </c>
      <c r="F205" s="11" t="n"/>
      <c r="G205" s="11" t="n"/>
      <c r="H205" s="11" t="n"/>
      <c r="I205" s="19" t="n"/>
      <c r="J205" s="19" t="n"/>
      <c r="K205" s="19" t="n"/>
      <c r="L205" s="19" t="n"/>
    </row>
    <row r="206">
      <c r="A206" s="25" t="inlineStr">
        <is>
          <t>F. Risque chimique &amp; poussières</t>
        </is>
      </c>
      <c r="B206" s="25" t="inlineStr">
        <is>
          <t>EPI chimique</t>
        </is>
      </c>
      <c r="C206" s="26" t="inlineStr">
        <is>
          <t>F.23</t>
        </is>
      </c>
      <c r="D206" s="6" t="inlineStr">
        <is>
          <t>Savons non agressifs + pommades de protection mains</t>
        </is>
      </c>
      <c r="E206" s="27" t="inlineStr">
        <is>
          <t>Bonne pratique</t>
        </is>
      </c>
      <c r="F206" s="11" t="n"/>
      <c r="G206" s="11" t="n"/>
      <c r="H206" s="11" t="n"/>
      <c r="I206" s="19" t="n"/>
      <c r="J206" s="19" t="n"/>
      <c r="K206" s="19" t="n"/>
      <c r="L206" s="19" t="n"/>
    </row>
    <row r="207">
      <c r="A207" s="25" t="inlineStr">
        <is>
          <t>F. Risque chimique &amp; poussières</t>
        </is>
      </c>
      <c r="B207" s="25" t="inlineStr">
        <is>
          <t>Ventilation</t>
        </is>
      </c>
      <c r="C207" s="26" t="inlineStr">
        <is>
          <t>F.24</t>
        </is>
      </c>
      <c r="D207" s="6" t="inlineStr">
        <is>
          <t>Aération naturelle ou mécanique des zones d'utilisation</t>
        </is>
      </c>
      <c r="E207" s="27" t="inlineStr">
        <is>
          <t>Art. R.4222-1</t>
        </is>
      </c>
      <c r="F207" s="11" t="n"/>
      <c r="G207" s="11" t="n"/>
      <c r="H207" s="11" t="n"/>
      <c r="I207" s="19" t="n"/>
      <c r="J207" s="19" t="n"/>
      <c r="K207" s="19" t="n"/>
      <c r="L207" s="19" t="n"/>
    </row>
    <row r="208">
      <c r="A208" s="25" t="inlineStr">
        <is>
          <t>F. Risque chimique &amp; poussières</t>
        </is>
      </c>
      <c r="B208" s="25" t="inlineStr">
        <is>
          <t>Ventilation</t>
        </is>
      </c>
      <c r="C208" s="26" t="inlineStr">
        <is>
          <t>F.25</t>
        </is>
      </c>
      <c r="D208" s="6" t="inlineStr">
        <is>
          <t>Aspiration à la source pour vapeurs / fumées / aérosols</t>
        </is>
      </c>
      <c r="E208" s="27" t="inlineStr">
        <is>
          <t>Art. R.4222-12</t>
        </is>
      </c>
      <c r="F208" s="11" t="n"/>
      <c r="G208" s="11" t="n"/>
      <c r="H208" s="11" t="n"/>
      <c r="I208" s="19" t="n"/>
      <c r="J208" s="19" t="n"/>
      <c r="K208" s="19" t="n"/>
      <c r="L208" s="19" t="n"/>
    </row>
    <row r="209">
      <c r="A209" s="25" t="inlineStr">
        <is>
          <t>F. Risque chimique &amp; poussières</t>
        </is>
      </c>
      <c r="B209" s="25" t="inlineStr">
        <is>
          <t>Ventilation</t>
        </is>
      </c>
      <c r="C209" s="26" t="inlineStr">
        <is>
          <t>F.26</t>
        </is>
      </c>
      <c r="D209" s="6" t="inlineStr">
        <is>
          <t>Mesures d'empoussièrement annuelles si exposition silice ou amiante</t>
        </is>
      </c>
      <c r="E209" s="27" t="inlineStr">
        <is>
          <t>Art. R.4222-21</t>
        </is>
      </c>
      <c r="F209" s="11" t="n"/>
      <c r="G209" s="11" t="n"/>
      <c r="H209" s="11" t="n"/>
      <c r="I209" s="19" t="n"/>
      <c r="J209" s="19" t="n"/>
      <c r="K209" s="19" t="n"/>
      <c r="L209" s="19" t="n"/>
    </row>
    <row r="210">
      <c r="A210" s="25" t="inlineStr">
        <is>
          <t>F. Risque chimique &amp; poussières</t>
        </is>
      </c>
      <c r="B210" s="25" t="inlineStr">
        <is>
          <t>Poussières</t>
        </is>
      </c>
      <c r="C210" s="26" t="inlineStr">
        <is>
          <t>F.27</t>
        </is>
      </c>
      <c r="D210" s="6" t="inlineStr">
        <is>
          <t>Perceuses équipées d'aspiration à la source</t>
        </is>
      </c>
      <c r="E210" s="27" t="inlineStr">
        <is>
          <t>Bonne pratique</t>
        </is>
      </c>
      <c r="F210" s="11" t="n"/>
      <c r="G210" s="11" t="n"/>
      <c r="H210" s="11" t="n"/>
      <c r="I210" s="19" t="n"/>
      <c r="J210" s="19" t="n"/>
      <c r="K210" s="19" t="n"/>
      <c r="L210" s="19" t="n"/>
    </row>
    <row r="211">
      <c r="A211" s="25" t="inlineStr">
        <is>
          <t>F. Risque chimique &amp; poussières</t>
        </is>
      </c>
      <c r="B211" s="25" t="inlineStr">
        <is>
          <t>Poussières</t>
        </is>
      </c>
      <c r="C211" s="26" t="inlineStr">
        <is>
          <t>F.28</t>
        </is>
      </c>
      <c r="D211" s="6" t="inlineStr">
        <is>
          <t>Masques FFP3 pour perçages &gt; 10 min ou milieu confiné</t>
        </is>
      </c>
      <c r="E211" s="27" t="inlineStr">
        <is>
          <t>NF EN 149</t>
        </is>
      </c>
      <c r="F211" s="11" t="n"/>
      <c r="G211" s="11" t="n"/>
      <c r="H211" s="11" t="n"/>
      <c r="I211" s="19" t="n"/>
      <c r="J211" s="19" t="n"/>
      <c r="K211" s="19" t="n"/>
      <c r="L211" s="19" t="n"/>
    </row>
    <row r="212">
      <c r="A212" s="25" t="inlineStr">
        <is>
          <t>F. Risque chimique &amp; poussières</t>
        </is>
      </c>
      <c r="B212" s="25" t="inlineStr">
        <is>
          <t>Poussières</t>
        </is>
      </c>
      <c r="C212" s="26" t="inlineStr">
        <is>
          <t>F.29</t>
        </is>
      </c>
      <c r="D212" s="6" t="inlineStr">
        <is>
          <t>Mouillage des matériaux quand possible (perçage humide)</t>
        </is>
      </c>
      <c r="E212" s="27" t="inlineStr">
        <is>
          <t>Bonne pratique</t>
        </is>
      </c>
      <c r="F212" s="11" t="n"/>
      <c r="G212" s="11" t="n"/>
      <c r="H212" s="11" t="n"/>
      <c r="I212" s="19" t="n"/>
      <c r="J212" s="19" t="n"/>
      <c r="K212" s="19" t="n"/>
      <c r="L212" s="19" t="n"/>
    </row>
    <row r="213">
      <c r="A213" s="25" t="inlineStr">
        <is>
          <t>F. Risque chimique &amp; poussières</t>
        </is>
      </c>
      <c r="B213" s="25" t="inlineStr">
        <is>
          <t>Poussières</t>
        </is>
      </c>
      <c r="C213" s="26" t="inlineStr">
        <is>
          <t>F.30</t>
        </is>
      </c>
      <c r="D213" s="6" t="inlineStr">
        <is>
          <t>Évaluation exposition silice cristalline (VLEP 0,1 mg/m³)</t>
        </is>
      </c>
      <c r="E213" s="27" t="inlineStr">
        <is>
          <t>Décret 2021-797</t>
        </is>
      </c>
      <c r="F213" s="11" t="n"/>
      <c r="G213" s="11" t="n"/>
      <c r="H213" s="11" t="n"/>
      <c r="I213" s="19" t="n"/>
      <c r="J213" s="19" t="n"/>
      <c r="K213" s="19" t="n"/>
      <c r="L213" s="19" t="n"/>
    </row>
    <row r="214">
      <c r="A214" s="25" t="inlineStr">
        <is>
          <t>F. Risque chimique &amp; poussières</t>
        </is>
      </c>
      <c r="B214" s="25" t="inlineStr">
        <is>
          <t>Premiers secours</t>
        </is>
      </c>
      <c r="C214" s="26" t="inlineStr">
        <is>
          <t>F.31</t>
        </is>
      </c>
      <c r="D214" s="6" t="inlineStr">
        <is>
          <t>Douche oculaire et corporelle à proximité des zones chimiques</t>
        </is>
      </c>
      <c r="E214" s="27" t="inlineStr">
        <is>
          <t>Art. R.4412-23</t>
        </is>
      </c>
      <c r="F214" s="11" t="n"/>
      <c r="G214" s="11" t="n"/>
      <c r="H214" s="11" t="n"/>
      <c r="I214" s="19" t="n"/>
      <c r="J214" s="19" t="n"/>
      <c r="K214" s="19" t="n"/>
      <c r="L214" s="19" t="n"/>
    </row>
    <row r="215">
      <c r="A215" s="25" t="inlineStr">
        <is>
          <t>F. Risque chimique &amp; poussières</t>
        </is>
      </c>
      <c r="B215" s="25" t="inlineStr">
        <is>
          <t>Premiers secours</t>
        </is>
      </c>
      <c r="C215" s="26" t="inlineStr">
        <is>
          <t>F.32</t>
        </is>
      </c>
      <c r="D215" s="6" t="inlineStr">
        <is>
          <t>Trousse de premiers secours avec antiseptique adapté</t>
        </is>
      </c>
      <c r="E215" s="27" t="inlineStr">
        <is>
          <t>Art. R.4224-14</t>
        </is>
      </c>
      <c r="F215" s="11" t="n"/>
      <c r="G215" s="11" t="n"/>
      <c r="H215" s="11" t="n"/>
      <c r="I215" s="19" t="n"/>
      <c r="J215" s="19" t="n"/>
      <c r="K215" s="19" t="n"/>
      <c r="L215" s="19" t="n"/>
    </row>
    <row r="216">
      <c r="A216" s="25" t="inlineStr">
        <is>
          <t>F. Risque chimique &amp; poussières</t>
        </is>
      </c>
      <c r="B216" s="25" t="inlineStr">
        <is>
          <t>Premiers secours</t>
        </is>
      </c>
      <c r="C216" s="26" t="inlineStr">
        <is>
          <t>F.33</t>
        </is>
      </c>
      <c r="D216" s="6" t="inlineStr">
        <is>
          <t>Procédure d'urgence chimique formalisée et affichée</t>
        </is>
      </c>
      <c r="E216" s="27" t="inlineStr">
        <is>
          <t>Art. R.4412-38</t>
        </is>
      </c>
      <c r="F216" s="11" t="n"/>
      <c r="G216" s="11" t="n"/>
      <c r="H216" s="11" t="n"/>
      <c r="I216" s="19" t="n"/>
      <c r="J216" s="19" t="n"/>
      <c r="K216" s="19" t="n"/>
      <c r="L216" s="19" t="n"/>
    </row>
    <row r="217">
      <c r="A217" s="25" t="inlineStr">
        <is>
          <t>F. Risque chimique &amp; poussières</t>
        </is>
      </c>
      <c r="B217" s="25" t="inlineStr">
        <is>
          <t>Déchets</t>
        </is>
      </c>
      <c r="C217" s="26" t="inlineStr">
        <is>
          <t>F.34</t>
        </is>
      </c>
      <c r="D217" s="6" t="inlineStr">
        <is>
          <t>Filière agréée d'évacuation des déchets chimiques</t>
        </is>
      </c>
      <c r="E217" s="27" t="inlineStr">
        <is>
          <t>Art. R.541-7 CE</t>
        </is>
      </c>
      <c r="F217" s="11" t="n"/>
      <c r="G217" s="11" t="n"/>
      <c r="H217" s="11" t="n"/>
      <c r="I217" s="19" t="n"/>
      <c r="J217" s="19" t="n"/>
      <c r="K217" s="19" t="n"/>
      <c r="L217" s="19" t="n"/>
    </row>
    <row r="218">
      <c r="A218" s="25" t="inlineStr">
        <is>
          <t>F. Risque chimique &amp; poussières</t>
        </is>
      </c>
      <c r="B218" s="25" t="inlineStr">
        <is>
          <t>Déchets</t>
        </is>
      </c>
      <c r="C218" s="26" t="inlineStr">
        <is>
          <t>F.35</t>
        </is>
      </c>
      <c r="D218" s="6" t="inlineStr">
        <is>
          <t>Bordereau de suivi des déchets dangereux (BSDD) conservé 5 ans</t>
        </is>
      </c>
      <c r="E218" s="27" t="inlineStr">
        <is>
          <t>Art. R.541-45</t>
        </is>
      </c>
      <c r="F218" s="11" t="n"/>
      <c r="G218" s="11" t="n"/>
      <c r="H218" s="11" t="n"/>
      <c r="I218" s="19" t="n"/>
      <c r="J218" s="19" t="n"/>
      <c r="K218" s="19" t="n"/>
      <c r="L218" s="19" t="n"/>
    </row>
    <row r="219">
      <c r="A219" s="25" t="inlineStr">
        <is>
          <t>F. Risque chimique &amp; poussières</t>
        </is>
      </c>
      <c r="B219" s="25" t="inlineStr">
        <is>
          <t>Information/Formation</t>
        </is>
      </c>
      <c r="C219" s="26" t="inlineStr">
        <is>
          <t>F.36</t>
        </is>
      </c>
      <c r="D219" s="6" t="inlineStr">
        <is>
          <t>Formation au maniement des produits chimiques</t>
        </is>
      </c>
      <c r="E219" s="27" t="inlineStr">
        <is>
          <t>Art. R.4412-38</t>
        </is>
      </c>
      <c r="F219" s="11" t="n"/>
      <c r="G219" s="11" t="n"/>
      <c r="H219" s="11" t="n"/>
      <c r="I219" s="19" t="n"/>
      <c r="J219" s="19" t="n"/>
      <c r="K219" s="19" t="n"/>
      <c r="L219" s="19" t="n"/>
    </row>
    <row r="220">
      <c r="A220" s="25" t="inlineStr">
        <is>
          <t>F. Risque chimique &amp; poussières</t>
        </is>
      </c>
      <c r="B220" s="25" t="inlineStr">
        <is>
          <t>Information/Formation</t>
        </is>
      </c>
      <c r="C220" s="26" t="inlineStr">
        <is>
          <t>F.37</t>
        </is>
      </c>
      <c r="D220" s="6" t="inlineStr">
        <is>
          <t>Information annuelle des risques et des mesures de protection</t>
        </is>
      </c>
      <c r="E220" s="27" t="inlineStr">
        <is>
          <t>Art. R.4412-38</t>
        </is>
      </c>
      <c r="F220" s="11" t="n"/>
      <c r="G220" s="11" t="n"/>
      <c r="H220" s="11" t="n"/>
      <c r="I220" s="19" t="n"/>
      <c r="J220" s="19" t="n"/>
      <c r="K220" s="19" t="n"/>
      <c r="L220" s="19" t="n"/>
    </row>
    <row r="221">
      <c r="A221" s="25" t="inlineStr">
        <is>
          <t>F. Risque chimique &amp; poussières</t>
        </is>
      </c>
      <c r="B221" s="25" t="inlineStr">
        <is>
          <t>Information/Formation</t>
        </is>
      </c>
      <c r="C221" s="26" t="inlineStr">
        <is>
          <t>F.38</t>
        </is>
      </c>
      <c r="D221" s="6" t="inlineStr">
        <is>
          <t>Interdiction de manger / boire / fumer aux postes exposés</t>
        </is>
      </c>
      <c r="E221" s="27" t="inlineStr">
        <is>
          <t>Art. R.4412-71</t>
        </is>
      </c>
      <c r="F221" s="11" t="n"/>
      <c r="G221" s="11" t="n"/>
      <c r="H221" s="11" t="n"/>
      <c r="I221" s="19" t="n"/>
      <c r="J221" s="19" t="n"/>
      <c r="K221" s="19" t="n"/>
      <c r="L221" s="19" t="n"/>
    </row>
    <row r="222">
      <c r="A222" s="21" t="inlineStr">
        <is>
          <t>G. Amiante &amp; plomb</t>
        </is>
      </c>
      <c r="B222" s="21" t="inlineStr">
        <is>
          <t>Amiante - Évaluation</t>
        </is>
      </c>
      <c r="C222" s="22" t="inlineStr">
        <is>
          <t>G.01</t>
        </is>
      </c>
      <c r="D222" s="23" t="inlineStr">
        <is>
          <t>Procédure d'exigence du DTA pour tout bâtiment &lt; 1997</t>
        </is>
      </c>
      <c r="E222" s="24" t="inlineStr">
        <is>
          <t>Art. R.4412-97</t>
        </is>
      </c>
      <c r="F222" s="11" t="n"/>
      <c r="G222" s="11" t="n"/>
      <c r="H222" s="11" t="n"/>
      <c r="I222" s="19" t="n"/>
      <c r="J222" s="19" t="n"/>
      <c r="K222" s="19" t="n"/>
      <c r="L222" s="19" t="n"/>
    </row>
    <row r="223">
      <c r="A223" s="21" t="inlineStr">
        <is>
          <t>G. Amiante &amp; plomb</t>
        </is>
      </c>
      <c r="B223" s="21" t="inlineStr">
        <is>
          <t>Amiante - Évaluation</t>
        </is>
      </c>
      <c r="C223" s="22" t="inlineStr">
        <is>
          <t>G.02</t>
        </is>
      </c>
      <c r="D223" s="23" t="inlineStr">
        <is>
          <t>Refus d'intervention si DTA absent ou &gt; 3 ans</t>
        </is>
      </c>
      <c r="E223" s="24" t="inlineStr">
        <is>
          <t>Art. R.4412-97</t>
        </is>
      </c>
      <c r="F223" s="11" t="n"/>
      <c r="G223" s="11" t="n"/>
      <c r="H223" s="11" t="n"/>
      <c r="I223" s="19" t="n"/>
      <c r="J223" s="19" t="n"/>
      <c r="K223" s="19" t="n"/>
      <c r="L223" s="19" t="n"/>
    </row>
    <row r="224">
      <c r="A224" s="21" t="inlineStr">
        <is>
          <t>G. Amiante &amp; plomb</t>
        </is>
      </c>
      <c r="B224" s="21" t="inlineStr">
        <is>
          <t>Amiante - Évaluation</t>
        </is>
      </c>
      <c r="C224" s="22" t="inlineStr">
        <is>
          <t>G.03</t>
        </is>
      </c>
      <c r="D224" s="23" t="inlineStr">
        <is>
          <t>Repérage avant travaux complémentaire si DTA insuffisant</t>
        </is>
      </c>
      <c r="E224" s="24" t="inlineStr">
        <is>
          <t>Art. R.4412-97</t>
        </is>
      </c>
      <c r="F224" s="11" t="n"/>
      <c r="G224" s="11" t="n"/>
      <c r="H224" s="11" t="n"/>
      <c r="I224" s="19" t="n"/>
      <c r="J224" s="19" t="n"/>
      <c r="K224" s="19" t="n"/>
      <c r="L224" s="19" t="n"/>
    </row>
    <row r="225">
      <c r="A225" s="21" t="inlineStr">
        <is>
          <t>G. Amiante &amp; plomb</t>
        </is>
      </c>
      <c r="B225" s="21" t="inlineStr">
        <is>
          <t>Amiante - Formation</t>
        </is>
      </c>
      <c r="C225" s="22" t="inlineStr">
        <is>
          <t>G.04</t>
        </is>
      </c>
      <c r="D225" s="23" t="inlineStr">
        <is>
          <t>Formation SS4 initiale 5 jours (Art. R.4412-117) pour tous techniciens</t>
        </is>
      </c>
      <c r="E225" s="24" t="inlineStr">
        <is>
          <t>Arrêté 23/02/2012</t>
        </is>
      </c>
      <c r="F225" s="11" t="n"/>
      <c r="G225" s="11" t="n"/>
      <c r="H225" s="11" t="n"/>
      <c r="I225" s="19" t="n"/>
      <c r="J225" s="19" t="n"/>
      <c r="K225" s="19" t="n"/>
      <c r="L225" s="19" t="n"/>
    </row>
    <row r="226">
      <c r="A226" s="21" t="inlineStr">
        <is>
          <t>G. Amiante &amp; plomb</t>
        </is>
      </c>
      <c r="B226" s="21" t="inlineStr">
        <is>
          <t>Amiante - Formation</t>
        </is>
      </c>
      <c r="C226" s="22" t="inlineStr">
        <is>
          <t>G.05</t>
        </is>
      </c>
      <c r="D226" s="23" t="inlineStr">
        <is>
          <t>Recyclage SS4 tous les 3 ans (1 jour)</t>
        </is>
      </c>
      <c r="E226" s="24" t="inlineStr">
        <is>
          <t>Arrêté 23/02/2012</t>
        </is>
      </c>
      <c r="F226" s="11" t="n"/>
      <c r="G226" s="11" t="n"/>
      <c r="H226" s="11" t="n"/>
      <c r="I226" s="19" t="n"/>
      <c r="J226" s="19" t="n"/>
      <c r="K226" s="19" t="n"/>
      <c r="L226" s="19" t="n"/>
    </row>
    <row r="227">
      <c r="A227" s="21" t="inlineStr">
        <is>
          <t>G. Amiante &amp; plomb</t>
        </is>
      </c>
      <c r="B227" s="21" t="inlineStr">
        <is>
          <t>Amiante - Formation</t>
        </is>
      </c>
      <c r="C227" s="22" t="inlineStr">
        <is>
          <t>G.06</t>
        </is>
      </c>
      <c r="D227" s="23" t="inlineStr">
        <is>
          <t>Formation encadrement SS4 (5 jours) pour conducteurs travaux</t>
        </is>
      </c>
      <c r="E227" s="24" t="inlineStr">
        <is>
          <t>Arrêté 23/02/2012</t>
        </is>
      </c>
      <c r="F227" s="11" t="n"/>
      <c r="G227" s="11" t="n"/>
      <c r="H227" s="11" t="n"/>
      <c r="I227" s="19" t="n"/>
      <c r="J227" s="19" t="n"/>
      <c r="K227" s="19" t="n"/>
      <c r="L227" s="19" t="n"/>
    </row>
    <row r="228">
      <c r="A228" s="21" t="inlineStr">
        <is>
          <t>G. Amiante &amp; plomb</t>
        </is>
      </c>
      <c r="B228" s="21" t="inlineStr">
        <is>
          <t>Amiante - EPI</t>
        </is>
      </c>
      <c r="C228" s="22" t="inlineStr">
        <is>
          <t>G.07</t>
        </is>
      </c>
      <c r="D228" s="23" t="inlineStr">
        <is>
          <t>Masque ventilation assistée TM3P (filtration HEPA)</t>
        </is>
      </c>
      <c r="E228" s="24" t="inlineStr">
        <is>
          <t>NF EN 12942</t>
        </is>
      </c>
      <c r="F228" s="11" t="n"/>
      <c r="G228" s="11" t="n"/>
      <c r="H228" s="11" t="n"/>
      <c r="I228" s="19" t="n"/>
      <c r="J228" s="19" t="n"/>
      <c r="K228" s="19" t="n"/>
      <c r="L228" s="19" t="n"/>
    </row>
    <row r="229">
      <c r="A229" s="21" t="inlineStr">
        <is>
          <t>G. Amiante &amp; plomb</t>
        </is>
      </c>
      <c r="B229" s="21" t="inlineStr">
        <is>
          <t>Amiante - EPI</t>
        </is>
      </c>
      <c r="C229" s="22" t="inlineStr">
        <is>
          <t>G.08</t>
        </is>
      </c>
      <c r="D229" s="23" t="inlineStr">
        <is>
          <t>Combinaison type 5 jetable étanche aux particules</t>
        </is>
      </c>
      <c r="E229" s="24" t="inlineStr">
        <is>
          <t>NF EN ISO 13982-1</t>
        </is>
      </c>
      <c r="F229" s="11" t="n"/>
      <c r="G229" s="11" t="n"/>
      <c r="H229" s="11" t="n"/>
      <c r="I229" s="19" t="n"/>
      <c r="J229" s="19" t="n"/>
      <c r="K229" s="19" t="n"/>
      <c r="L229" s="19" t="n"/>
    </row>
    <row r="230">
      <c r="A230" s="21" t="inlineStr">
        <is>
          <t>G. Amiante &amp; plomb</t>
        </is>
      </c>
      <c r="B230" s="21" t="inlineStr">
        <is>
          <t>Amiante - EPI</t>
        </is>
      </c>
      <c r="C230" s="22" t="inlineStr">
        <is>
          <t>G.09</t>
        </is>
      </c>
      <c r="D230" s="23" t="inlineStr">
        <is>
          <t>Gants nitrile longues manchettes + sur-bottes</t>
        </is>
      </c>
      <c r="E230" s="24" t="inlineStr">
        <is>
          <t>NF EN 374</t>
        </is>
      </c>
      <c r="F230" s="11" t="n"/>
      <c r="G230" s="11" t="n"/>
      <c r="H230" s="11" t="n"/>
      <c r="I230" s="19" t="n"/>
      <c r="J230" s="19" t="n"/>
      <c r="K230" s="19" t="n"/>
      <c r="L230" s="19" t="n"/>
    </row>
    <row r="231">
      <c r="A231" s="21" t="inlineStr">
        <is>
          <t>G. Amiante &amp; plomb</t>
        </is>
      </c>
      <c r="B231" s="21" t="inlineStr">
        <is>
          <t>Amiante - EPI</t>
        </is>
      </c>
      <c r="C231" s="22" t="inlineStr">
        <is>
          <t>G.10</t>
        </is>
      </c>
      <c r="D231" s="23" t="inlineStr">
        <is>
          <t>Demi-masque FFP3 pour interventions très ponctuelles SS4</t>
        </is>
      </c>
      <c r="E231" s="24" t="inlineStr">
        <is>
          <t>NF EN 149</t>
        </is>
      </c>
      <c r="F231" s="11" t="n"/>
      <c r="G231" s="11" t="n"/>
      <c r="H231" s="11" t="n"/>
      <c r="I231" s="19" t="n"/>
      <c r="J231" s="19" t="n"/>
      <c r="K231" s="19" t="n"/>
      <c r="L231" s="19" t="n"/>
    </row>
    <row r="232">
      <c r="A232" s="21" t="inlineStr">
        <is>
          <t>G. Amiante &amp; plomb</t>
        </is>
      </c>
      <c r="B232" s="21" t="inlineStr">
        <is>
          <t>Amiante - Procédures</t>
        </is>
      </c>
      <c r="C232" s="22" t="inlineStr">
        <is>
          <t>G.11</t>
        </is>
      </c>
      <c r="D232" s="23" t="inlineStr">
        <is>
          <t>Procédure de décontamination en sortie de zone (douche)</t>
        </is>
      </c>
      <c r="E232" s="24" t="inlineStr">
        <is>
          <t>Arrêté 08/04/2013</t>
        </is>
      </c>
      <c r="F232" s="11" t="n"/>
      <c r="G232" s="11" t="n"/>
      <c r="H232" s="11" t="n"/>
      <c r="I232" s="19" t="n"/>
      <c r="J232" s="19" t="n"/>
      <c r="K232" s="19" t="n"/>
      <c r="L232" s="19" t="n"/>
    </row>
    <row r="233">
      <c r="A233" s="21" t="inlineStr">
        <is>
          <t>G. Amiante &amp; plomb</t>
        </is>
      </c>
      <c r="B233" s="21" t="inlineStr">
        <is>
          <t>Amiante - Procédures</t>
        </is>
      </c>
      <c r="C233" s="22" t="inlineStr">
        <is>
          <t>G.12</t>
        </is>
      </c>
      <c r="D233" s="23" t="inlineStr">
        <is>
          <t>Confinement de la zone d'intervention (sas, dépression)</t>
        </is>
      </c>
      <c r="E233" s="24" t="inlineStr">
        <is>
          <t>Arrêté 08/04/2013</t>
        </is>
      </c>
      <c r="F233" s="11" t="n"/>
      <c r="G233" s="11" t="n"/>
      <c r="H233" s="11" t="n"/>
      <c r="I233" s="19" t="n"/>
      <c r="J233" s="19" t="n"/>
      <c r="K233" s="19" t="n"/>
      <c r="L233" s="19" t="n"/>
    </row>
    <row r="234">
      <c r="A234" s="21" t="inlineStr">
        <is>
          <t>G. Amiante &amp; plomb</t>
        </is>
      </c>
      <c r="B234" s="21" t="inlineStr">
        <is>
          <t>Amiante - Procédures</t>
        </is>
      </c>
      <c r="C234" s="22" t="inlineStr">
        <is>
          <t>G.13</t>
        </is>
      </c>
      <c r="D234" s="23" t="inlineStr">
        <is>
          <t>Aspiration THE (haute efficacité) à la source</t>
        </is>
      </c>
      <c r="E234" s="24" t="inlineStr">
        <is>
          <t>Arrêté 08/04/2013</t>
        </is>
      </c>
      <c r="F234" s="11" t="n"/>
      <c r="G234" s="11" t="n"/>
      <c r="H234" s="11" t="n"/>
      <c r="I234" s="19" t="n"/>
      <c r="J234" s="19" t="n"/>
      <c r="K234" s="19" t="n"/>
      <c r="L234" s="19" t="n"/>
    </row>
    <row r="235">
      <c r="A235" s="21" t="inlineStr">
        <is>
          <t>G. Amiante &amp; plomb</t>
        </is>
      </c>
      <c r="B235" s="21" t="inlineStr">
        <is>
          <t>Amiante - Procédures</t>
        </is>
      </c>
      <c r="C235" s="22" t="inlineStr">
        <is>
          <t>G.14</t>
        </is>
      </c>
      <c r="D235" s="23" t="inlineStr">
        <is>
          <t>Mode opératoire SS4 documenté par chantier</t>
        </is>
      </c>
      <c r="E235" s="24" t="inlineStr">
        <is>
          <t>Art. R.4412-145</t>
        </is>
      </c>
      <c r="F235" s="11" t="n"/>
      <c r="G235" s="11" t="n"/>
      <c r="H235" s="11" t="n"/>
      <c r="I235" s="19" t="n"/>
      <c r="J235" s="19" t="n"/>
      <c r="K235" s="19" t="n"/>
      <c r="L235" s="19" t="n"/>
    </row>
    <row r="236">
      <c r="A236" s="21" t="inlineStr">
        <is>
          <t>G. Amiante &amp; plomb</t>
        </is>
      </c>
      <c r="B236" s="21" t="inlineStr">
        <is>
          <t>Amiante - Procédures</t>
        </is>
      </c>
      <c r="C236" s="22" t="inlineStr">
        <is>
          <t>G.15</t>
        </is>
      </c>
      <c r="D236" s="23" t="inlineStr">
        <is>
          <t>Mesures d'empoussièrement (libératoires et de contrôle)</t>
        </is>
      </c>
      <c r="E236" s="24" t="inlineStr">
        <is>
          <t>Art. R.4412-126</t>
        </is>
      </c>
      <c r="F236" s="11" t="n"/>
      <c r="G236" s="11" t="n"/>
      <c r="H236" s="11" t="n"/>
      <c r="I236" s="19" t="n"/>
      <c r="J236" s="19" t="n"/>
      <c r="K236" s="19" t="n"/>
      <c r="L236" s="19" t="n"/>
    </row>
    <row r="237">
      <c r="A237" s="21" t="inlineStr">
        <is>
          <t>G. Amiante &amp; plomb</t>
        </is>
      </c>
      <c r="B237" s="21" t="inlineStr">
        <is>
          <t>Amiante - Déchets</t>
        </is>
      </c>
      <c r="C237" s="22" t="inlineStr">
        <is>
          <t>G.16</t>
        </is>
      </c>
      <c r="D237" s="23" t="inlineStr">
        <is>
          <t>Conditionnement amiante en double emballage étiqueté</t>
        </is>
      </c>
      <c r="E237" s="24" t="inlineStr">
        <is>
          <t>Code env.</t>
        </is>
      </c>
      <c r="F237" s="11" t="n"/>
      <c r="G237" s="11" t="n"/>
      <c r="H237" s="11" t="n"/>
      <c r="I237" s="19" t="n"/>
      <c r="J237" s="19" t="n"/>
      <c r="K237" s="19" t="n"/>
      <c r="L237" s="19" t="n"/>
    </row>
    <row r="238">
      <c r="A238" s="21" t="inlineStr">
        <is>
          <t>G. Amiante &amp; plomb</t>
        </is>
      </c>
      <c r="B238" s="21" t="inlineStr">
        <is>
          <t>Amiante - Déchets</t>
        </is>
      </c>
      <c r="C238" s="22" t="inlineStr">
        <is>
          <t>G.17</t>
        </is>
      </c>
      <c r="D238" s="23" t="inlineStr">
        <is>
          <t>Filière agréée d'élimination amiante (BSDA conservé 5 ans)</t>
        </is>
      </c>
      <c r="E238" s="24" t="inlineStr">
        <is>
          <t>Art. R.541-45</t>
        </is>
      </c>
      <c r="F238" s="11" t="n"/>
      <c r="G238" s="11" t="n"/>
      <c r="H238" s="11" t="n"/>
      <c r="I238" s="19" t="n"/>
      <c r="J238" s="19" t="n"/>
      <c r="K238" s="19" t="n"/>
      <c r="L238" s="19" t="n"/>
    </row>
    <row r="239">
      <c r="A239" s="21" t="inlineStr">
        <is>
          <t>G. Amiante &amp; plomb</t>
        </is>
      </c>
      <c r="B239" s="21" t="inlineStr">
        <is>
          <t>Amiante - Médical</t>
        </is>
      </c>
      <c r="C239" s="22" t="inlineStr">
        <is>
          <t>G.18</t>
        </is>
      </c>
      <c r="D239" s="23" t="inlineStr">
        <is>
          <t>Suivi médical renforcé pour exposés amiante</t>
        </is>
      </c>
      <c r="E239" s="24" t="inlineStr">
        <is>
          <t>Art. R.4412-44</t>
        </is>
      </c>
      <c r="F239" s="11" t="n"/>
      <c r="G239" s="11" t="n"/>
      <c r="H239" s="11" t="n"/>
      <c r="I239" s="19" t="n"/>
      <c r="J239" s="19" t="n"/>
      <c r="K239" s="19" t="n"/>
      <c r="L239" s="19" t="n"/>
    </row>
    <row r="240">
      <c r="A240" s="21" t="inlineStr">
        <is>
          <t>G. Amiante &amp; plomb</t>
        </is>
      </c>
      <c r="B240" s="21" t="inlineStr">
        <is>
          <t>Amiante - Médical</t>
        </is>
      </c>
      <c r="C240" s="22" t="inlineStr">
        <is>
          <t>G.19</t>
        </is>
      </c>
      <c r="D240" s="23" t="inlineStr">
        <is>
          <t>Fiche d'exposition amiante remise à chaque salarié exposé</t>
        </is>
      </c>
      <c r="E240" s="24" t="inlineStr">
        <is>
          <t>Art. R.4412-45</t>
        </is>
      </c>
      <c r="F240" s="11" t="n"/>
      <c r="G240" s="11" t="n"/>
      <c r="H240" s="11" t="n"/>
      <c r="I240" s="19" t="n"/>
      <c r="J240" s="19" t="n"/>
      <c r="K240" s="19" t="n"/>
      <c r="L240" s="19" t="n"/>
    </row>
    <row r="241">
      <c r="A241" s="21" t="inlineStr">
        <is>
          <t>G. Amiante &amp; plomb</t>
        </is>
      </c>
      <c r="B241" s="21" t="inlineStr">
        <is>
          <t>Amiante - Médical</t>
        </is>
      </c>
      <c r="C241" s="22" t="inlineStr">
        <is>
          <t>G.20</t>
        </is>
      </c>
      <c r="D241" s="23" t="inlineStr">
        <is>
          <t>Suivi médical post-professionnel (jusqu'à 50 ans après exposition)</t>
        </is>
      </c>
      <c r="E241" s="24" t="inlineStr">
        <is>
          <t>Décret 2015-1438</t>
        </is>
      </c>
      <c r="F241" s="11" t="n"/>
      <c r="G241" s="11" t="n"/>
      <c r="H241" s="11" t="n"/>
      <c r="I241" s="19" t="n"/>
      <c r="J241" s="19" t="n"/>
      <c r="K241" s="19" t="n"/>
      <c r="L241" s="19" t="n"/>
    </row>
    <row r="242">
      <c r="A242" s="21" t="inlineStr">
        <is>
          <t>G. Amiante &amp; plomb</t>
        </is>
      </c>
      <c r="B242" s="21" t="inlineStr">
        <is>
          <t>Amiante - Sous-traitance</t>
        </is>
      </c>
      <c r="C242" s="22" t="inlineStr">
        <is>
          <t>G.21</t>
        </is>
      </c>
      <c r="D242" s="23" t="inlineStr">
        <is>
          <t>Sous-traitants amiante : certification SS3 vérifiée</t>
        </is>
      </c>
      <c r="E242" s="24" t="inlineStr">
        <is>
          <t>Art. R.4412-129</t>
        </is>
      </c>
      <c r="F242" s="11" t="n"/>
      <c r="G242" s="11" t="n"/>
      <c r="H242" s="11" t="n"/>
      <c r="I242" s="19" t="n"/>
      <c r="J242" s="19" t="n"/>
      <c r="K242" s="19" t="n"/>
      <c r="L242" s="19" t="n"/>
    </row>
    <row r="243">
      <c r="A243" s="21" t="inlineStr">
        <is>
          <t>G. Amiante &amp; plomb</t>
        </is>
      </c>
      <c r="B243" s="21" t="inlineStr">
        <is>
          <t>Amiante - Sous-traitance</t>
        </is>
      </c>
      <c r="C243" s="22" t="inlineStr">
        <is>
          <t>G.22</t>
        </is>
      </c>
      <c r="D243" s="23" t="inlineStr">
        <is>
          <t>Si découverte fortuite : arrêt chantier + plan retrait par certifié SS3</t>
        </is>
      </c>
      <c r="E243" s="24" t="inlineStr">
        <is>
          <t>Art. R.4412-138</t>
        </is>
      </c>
      <c r="F243" s="11" t="n"/>
      <c r="G243" s="11" t="n"/>
      <c r="H243" s="11" t="n"/>
      <c r="I243" s="19" t="n"/>
      <c r="J243" s="19" t="n"/>
      <c r="K243" s="19" t="n"/>
      <c r="L243" s="19" t="n"/>
    </row>
    <row r="244">
      <c r="A244" s="21" t="inlineStr">
        <is>
          <t>G. Amiante &amp; plomb</t>
        </is>
      </c>
      <c r="B244" s="21" t="inlineStr">
        <is>
          <t>Plomb - Évaluation</t>
        </is>
      </c>
      <c r="C244" s="22" t="inlineStr">
        <is>
          <t>G.23</t>
        </is>
      </c>
      <c r="D244" s="23" t="inlineStr">
        <is>
          <t>CREP exigé pour bâtiments habitation antérieurs à 1949</t>
        </is>
      </c>
      <c r="E244" s="24" t="inlineStr">
        <is>
          <t>Art. R.4412-149</t>
        </is>
      </c>
      <c r="F244" s="11" t="n"/>
      <c r="G244" s="11" t="n"/>
      <c r="H244" s="11" t="n"/>
      <c r="I244" s="19" t="n"/>
      <c r="J244" s="19" t="n"/>
      <c r="K244" s="19" t="n"/>
      <c r="L244" s="19" t="n"/>
    </row>
    <row r="245">
      <c r="A245" s="21" t="inlineStr">
        <is>
          <t>G. Amiante &amp; plomb</t>
        </is>
      </c>
      <c r="B245" s="21" t="inlineStr">
        <is>
          <t>Plomb - EPI</t>
        </is>
      </c>
      <c r="C245" s="22" t="inlineStr">
        <is>
          <t>G.24</t>
        </is>
      </c>
      <c r="D245" s="23" t="inlineStr">
        <is>
          <t>Masque FFP3 pour interventions en présence de peintures plombées</t>
        </is>
      </c>
      <c r="E245" s="24" t="inlineStr">
        <is>
          <t>NF EN 149</t>
        </is>
      </c>
      <c r="F245" s="11" t="n"/>
      <c r="G245" s="11" t="n"/>
      <c r="H245" s="11" t="n"/>
      <c r="I245" s="19" t="n"/>
      <c r="J245" s="19" t="n"/>
      <c r="K245" s="19" t="n"/>
      <c r="L245" s="19" t="n"/>
    </row>
    <row r="246">
      <c r="A246" s="21" t="inlineStr">
        <is>
          <t>G. Amiante &amp; plomb</t>
        </is>
      </c>
      <c r="B246" s="21" t="inlineStr">
        <is>
          <t>Plomb - Médical</t>
        </is>
      </c>
      <c r="C246" s="22" t="inlineStr">
        <is>
          <t>G.25</t>
        </is>
      </c>
      <c r="D246" s="23" t="inlineStr">
        <is>
          <t>Plombémie systématique pour exposés</t>
        </is>
      </c>
      <c r="E246" s="24" t="inlineStr">
        <is>
          <t>Art. R.4412-160</t>
        </is>
      </c>
      <c r="F246" s="11" t="n"/>
      <c r="G246" s="11" t="n"/>
      <c r="H246" s="11" t="n"/>
      <c r="I246" s="19" t="n"/>
      <c r="J246" s="19" t="n"/>
      <c r="K246" s="19" t="n"/>
      <c r="L246" s="19" t="n"/>
    </row>
    <row r="247">
      <c r="A247" s="21" t="inlineStr">
        <is>
          <t>G. Amiante &amp; plomb</t>
        </is>
      </c>
      <c r="B247" s="21" t="inlineStr">
        <is>
          <t>Plomb - VLEP</t>
        </is>
      </c>
      <c r="C247" s="22" t="inlineStr">
        <is>
          <t>G.26</t>
        </is>
      </c>
      <c r="D247" s="23" t="inlineStr">
        <is>
          <t>VLEP 0,1 mg/m³ respectée</t>
        </is>
      </c>
      <c r="E247" s="24" t="inlineStr">
        <is>
          <t>Art. R.4412-152</t>
        </is>
      </c>
      <c r="F247" s="11" t="n"/>
      <c r="G247" s="11" t="n"/>
      <c r="H247" s="11" t="n"/>
      <c r="I247" s="19" t="n"/>
      <c r="J247" s="19" t="n"/>
      <c r="K247" s="19" t="n"/>
      <c r="L247" s="19" t="n"/>
    </row>
    <row r="248">
      <c r="A248" s="21" t="inlineStr">
        <is>
          <t>G. Amiante &amp; plomb</t>
        </is>
      </c>
      <c r="B248" s="21" t="inlineStr">
        <is>
          <t>FCR (fibres céramiques réfractaires)</t>
        </is>
      </c>
      <c r="C248" s="22" t="inlineStr">
        <is>
          <t>G.27</t>
        </is>
      </c>
      <c r="D248" s="23" t="inlineStr">
        <is>
          <t>Identification dans isolants haute température</t>
        </is>
      </c>
      <c r="E248" s="24" t="inlineStr">
        <is>
          <t>Art. R.4412-66</t>
        </is>
      </c>
      <c r="F248" s="11" t="n"/>
      <c r="G248" s="11" t="n"/>
      <c r="H248" s="11" t="n"/>
      <c r="I248" s="19" t="n"/>
      <c r="J248" s="19" t="n"/>
      <c r="K248" s="19" t="n"/>
      <c r="L248" s="19" t="n"/>
    </row>
    <row r="249">
      <c r="A249" s="21" t="inlineStr">
        <is>
          <t>G. Amiante &amp; plomb</t>
        </is>
      </c>
      <c r="B249" s="21" t="inlineStr">
        <is>
          <t>FCR (fibres céramiques réfractaires)</t>
        </is>
      </c>
      <c r="C249" s="22" t="inlineStr">
        <is>
          <t>G.28</t>
        </is>
      </c>
      <c r="D249" s="23" t="inlineStr">
        <is>
          <t>Procédure spécifique CMR si exposition</t>
        </is>
      </c>
      <c r="E249" s="24" t="inlineStr">
        <is>
          <t>Art. R.4412-71</t>
        </is>
      </c>
      <c r="F249" s="11" t="n"/>
      <c r="G249" s="11" t="n"/>
      <c r="H249" s="11" t="n"/>
      <c r="I249" s="19" t="n"/>
      <c r="J249" s="19" t="n"/>
      <c r="K249" s="19" t="n"/>
      <c r="L249" s="19" t="n"/>
    </row>
    <row r="250">
      <c r="A250" s="21" t="inlineStr">
        <is>
          <t>G. Amiante &amp; plomb</t>
        </is>
      </c>
      <c r="B250" s="21" t="inlineStr">
        <is>
          <t>Plomb - Substitution</t>
        </is>
      </c>
      <c r="C250" s="22" t="inlineStr">
        <is>
          <t>G.29</t>
        </is>
      </c>
      <c r="D250" s="23" t="inlineStr">
        <is>
          <t>Démarche de substitution si possible</t>
        </is>
      </c>
      <c r="E250" s="24" t="inlineStr">
        <is>
          <t>Art. R.4412-66</t>
        </is>
      </c>
      <c r="F250" s="11" t="n"/>
      <c r="G250" s="11" t="n"/>
      <c r="H250" s="11" t="n"/>
      <c r="I250" s="19" t="n"/>
      <c r="J250" s="19" t="n"/>
      <c r="K250" s="19" t="n"/>
      <c r="L250" s="19" t="n"/>
    </row>
    <row r="251">
      <c r="A251" s="21" t="inlineStr">
        <is>
          <t>G. Amiante &amp; plomb</t>
        </is>
      </c>
      <c r="B251" s="21" t="inlineStr">
        <is>
          <t>Plomb - Information</t>
        </is>
      </c>
      <c r="C251" s="22" t="inlineStr">
        <is>
          <t>G.30</t>
        </is>
      </c>
      <c r="D251" s="23" t="inlineStr">
        <is>
          <t>Information annuelle des salariés sur les risques plomb</t>
        </is>
      </c>
      <c r="E251" s="24" t="inlineStr">
        <is>
          <t>Art. R.4412-38</t>
        </is>
      </c>
      <c r="F251" s="11" t="n"/>
      <c r="G251" s="11" t="n"/>
      <c r="H251" s="11" t="n"/>
      <c r="I251" s="19" t="n"/>
      <c r="J251" s="19" t="n"/>
      <c r="K251" s="19" t="n"/>
      <c r="L251" s="19" t="n"/>
    </row>
    <row r="252">
      <c r="A252" s="25" t="inlineStr">
        <is>
          <t>H. Co-activité &amp; plan de prévention</t>
        </is>
      </c>
      <c r="B252" s="25" t="inlineStr">
        <is>
          <t>Évaluation</t>
        </is>
      </c>
      <c r="C252" s="26" t="inlineStr">
        <is>
          <t>H.01</t>
        </is>
      </c>
      <c r="D252" s="6" t="inlineStr">
        <is>
          <t>Identification systématique des seuils de plan de prévention (400 h / 12 mois)</t>
        </is>
      </c>
      <c r="E252" s="27" t="inlineStr">
        <is>
          <t>Art. R.4512-7</t>
        </is>
      </c>
      <c r="F252" s="11" t="n"/>
      <c r="G252" s="11" t="n"/>
      <c r="H252" s="11" t="n"/>
      <c r="I252" s="19" t="n"/>
      <c r="J252" s="19" t="n"/>
      <c r="K252" s="19" t="n"/>
      <c r="L252" s="19" t="n"/>
    </row>
    <row r="253">
      <c r="A253" s="25" t="inlineStr">
        <is>
          <t>H. Co-activité &amp; plan de prévention</t>
        </is>
      </c>
      <c r="B253" s="25" t="inlineStr">
        <is>
          <t>Évaluation</t>
        </is>
      </c>
      <c r="C253" s="26" t="inlineStr">
        <is>
          <t>H.02</t>
        </is>
      </c>
      <c r="D253" s="6" t="inlineStr">
        <is>
          <t>Identification des travaux dangereux (arrêté 19/03/1993)</t>
        </is>
      </c>
      <c r="E253" s="27" t="inlineStr">
        <is>
          <t>Arrêté 19/03/1993</t>
        </is>
      </c>
      <c r="F253" s="11" t="n"/>
      <c r="G253" s="11" t="n"/>
      <c r="H253" s="11" t="n"/>
      <c r="I253" s="19" t="n"/>
      <c r="J253" s="19" t="n"/>
      <c r="K253" s="19" t="n"/>
      <c r="L253" s="19" t="n"/>
    </row>
    <row r="254">
      <c r="A254" s="25" t="inlineStr">
        <is>
          <t>H. Co-activité &amp; plan de prévention</t>
        </is>
      </c>
      <c r="B254" s="25" t="inlineStr">
        <is>
          <t>Inspection commune</t>
        </is>
      </c>
      <c r="C254" s="26" t="inlineStr">
        <is>
          <t>H.03</t>
        </is>
      </c>
      <c r="D254" s="6" t="inlineStr">
        <is>
          <t>Inspection commune préalable systématique avant intervention chez client</t>
        </is>
      </c>
      <c r="E254" s="27" t="inlineStr">
        <is>
          <t>Art. R.4512-6</t>
        </is>
      </c>
      <c r="F254" s="11" t="n"/>
      <c r="G254" s="11" t="n"/>
      <c r="H254" s="11" t="n"/>
      <c r="I254" s="19" t="n"/>
      <c r="J254" s="19" t="n"/>
      <c r="K254" s="19" t="n"/>
      <c r="L254" s="19" t="n"/>
    </row>
    <row r="255">
      <c r="A255" s="25" t="inlineStr">
        <is>
          <t>H. Co-activité &amp; plan de prévention</t>
        </is>
      </c>
      <c r="B255" s="25" t="inlineStr">
        <is>
          <t>Inspection commune</t>
        </is>
      </c>
      <c r="C255" s="26" t="inlineStr">
        <is>
          <t>H.04</t>
        </is>
      </c>
      <c r="D255" s="6" t="inlineStr">
        <is>
          <t>Compte rendu d'inspection commune signé par les deux parties</t>
        </is>
      </c>
      <c r="E255" s="27" t="inlineStr">
        <is>
          <t>Art. R.4512-12</t>
        </is>
      </c>
      <c r="F255" s="11" t="n"/>
      <c r="G255" s="11" t="n"/>
      <c r="H255" s="11" t="n"/>
      <c r="I255" s="19" t="n"/>
      <c r="J255" s="19" t="n"/>
      <c r="K255" s="19" t="n"/>
      <c r="L255" s="19" t="n"/>
    </row>
    <row r="256">
      <c r="A256" s="25" t="inlineStr">
        <is>
          <t>H. Co-activité &amp; plan de prévention</t>
        </is>
      </c>
      <c r="B256" s="25" t="inlineStr">
        <is>
          <t>Plan prévention</t>
        </is>
      </c>
      <c r="C256" s="26" t="inlineStr">
        <is>
          <t>H.05</t>
        </is>
      </c>
      <c r="D256" s="6" t="inlineStr">
        <is>
          <t>Modèle de plan de prévention IM2S → client formalisé</t>
        </is>
      </c>
      <c r="E256" s="27" t="inlineStr">
        <is>
          <t>Art. R.4512-7</t>
        </is>
      </c>
      <c r="F256" s="11" t="n"/>
      <c r="G256" s="11" t="n"/>
      <c r="H256" s="11" t="n"/>
      <c r="I256" s="19" t="n"/>
      <c r="J256" s="19" t="n"/>
      <c r="K256" s="19" t="n"/>
      <c r="L256" s="19" t="n"/>
    </row>
    <row r="257">
      <c r="A257" s="25" t="inlineStr">
        <is>
          <t>H. Co-activité &amp; plan de prévention</t>
        </is>
      </c>
      <c r="B257" s="25" t="inlineStr">
        <is>
          <t>Plan prévention</t>
        </is>
      </c>
      <c r="C257" s="26" t="inlineStr">
        <is>
          <t>H.06</t>
        </is>
      </c>
      <c r="D257" s="6" t="inlineStr">
        <is>
          <t>Signature plan de prévention avant démarrage des travaux</t>
        </is>
      </c>
      <c r="E257" s="27" t="inlineStr">
        <is>
          <t>Art. R.4512-7</t>
        </is>
      </c>
      <c r="F257" s="11" t="n"/>
      <c r="G257" s="11" t="n"/>
      <c r="H257" s="11" t="n"/>
      <c r="I257" s="19" t="n"/>
      <c r="J257" s="19" t="n"/>
      <c r="K257" s="19" t="n"/>
      <c r="L257" s="19" t="n"/>
    </row>
    <row r="258">
      <c r="A258" s="25" t="inlineStr">
        <is>
          <t>H. Co-activité &amp; plan de prévention</t>
        </is>
      </c>
      <c r="B258" s="25" t="inlineStr">
        <is>
          <t>Plan prévention</t>
        </is>
      </c>
      <c r="C258" s="26" t="inlineStr">
        <is>
          <t>H.07</t>
        </is>
      </c>
      <c r="D258" s="6" t="inlineStr">
        <is>
          <t>Registre des plans de prévention signés tenu à jour</t>
        </is>
      </c>
      <c r="E258" s="27" t="inlineStr">
        <is>
          <t>Art. R.4512-13</t>
        </is>
      </c>
      <c r="F258" s="11" t="n"/>
      <c r="G258" s="11" t="n"/>
      <c r="H258" s="11" t="n"/>
      <c r="I258" s="19" t="n"/>
      <c r="J258" s="19" t="n"/>
      <c r="K258" s="19" t="n"/>
      <c r="L258" s="19" t="n"/>
    </row>
    <row r="259">
      <c r="A259" s="25" t="inlineStr">
        <is>
          <t>H. Co-activité &amp; plan de prévention</t>
        </is>
      </c>
      <c r="B259" s="25" t="inlineStr">
        <is>
          <t>Plan prévention</t>
        </is>
      </c>
      <c r="C259" s="26" t="inlineStr">
        <is>
          <t>H.08</t>
        </is>
      </c>
      <c r="D259" s="6" t="inlineStr">
        <is>
          <t>Diffusion du plan de prévention aux salariés concernés</t>
        </is>
      </c>
      <c r="E259" s="27" t="inlineStr">
        <is>
          <t>Art. R.4512-15</t>
        </is>
      </c>
      <c r="F259" s="11" t="n"/>
      <c r="G259" s="11" t="n"/>
      <c r="H259" s="11" t="n"/>
      <c r="I259" s="19" t="n"/>
      <c r="J259" s="19" t="n"/>
      <c r="K259" s="19" t="n"/>
      <c r="L259" s="19" t="n"/>
    </row>
    <row r="260">
      <c r="A260" s="25" t="inlineStr">
        <is>
          <t>H. Co-activité &amp; plan de prévention</t>
        </is>
      </c>
      <c r="B260" s="25" t="inlineStr">
        <is>
          <t>Plan prévention</t>
        </is>
      </c>
      <c r="C260" s="26" t="inlineStr">
        <is>
          <t>H.09</t>
        </is>
      </c>
      <c r="D260" s="6" t="inlineStr">
        <is>
          <t>Mise à jour si modification des conditions d'intervention</t>
        </is>
      </c>
      <c r="E260" s="27" t="inlineStr">
        <is>
          <t>Art. R.4512-7</t>
        </is>
      </c>
      <c r="F260" s="11" t="n"/>
      <c r="G260" s="11" t="n"/>
      <c r="H260" s="11" t="n"/>
      <c r="I260" s="19" t="n"/>
      <c r="J260" s="19" t="n"/>
      <c r="K260" s="19" t="n"/>
      <c r="L260" s="19" t="n"/>
    </row>
    <row r="261">
      <c r="A261" s="25" t="inlineStr">
        <is>
          <t>H. Co-activité &amp; plan de prévention</t>
        </is>
      </c>
      <c r="B261" s="25" t="inlineStr">
        <is>
          <t>PPSPS</t>
        </is>
      </c>
      <c r="C261" s="26" t="inlineStr">
        <is>
          <t>H.10</t>
        </is>
      </c>
      <c r="D261" s="6" t="inlineStr">
        <is>
          <t>PPSPS rédigé pour chantiers de catégorie 1 ou 2</t>
        </is>
      </c>
      <c r="E261" s="27" t="inlineStr">
        <is>
          <t>Art. L.4532-9</t>
        </is>
      </c>
      <c r="F261" s="11" t="n"/>
      <c r="G261" s="11" t="n"/>
      <c r="H261" s="11" t="n"/>
      <c r="I261" s="19" t="n"/>
      <c r="J261" s="19" t="n"/>
      <c r="K261" s="19" t="n"/>
      <c r="L261" s="19" t="n"/>
    </row>
    <row r="262">
      <c r="A262" s="25" t="inlineStr">
        <is>
          <t>H. Co-activité &amp; plan de prévention</t>
        </is>
      </c>
      <c r="B262" s="25" t="inlineStr">
        <is>
          <t>PPSPS</t>
        </is>
      </c>
      <c r="C262" s="26" t="inlineStr">
        <is>
          <t>H.11</t>
        </is>
      </c>
      <c r="D262" s="6" t="inlineStr">
        <is>
          <t>Coordination SPS niveau 1 / 2 / 3 selon classification chantier</t>
        </is>
      </c>
      <c r="E262" s="27" t="inlineStr">
        <is>
          <t>Art. R.4532-2</t>
        </is>
      </c>
      <c r="F262" s="11" t="n"/>
      <c r="G262" s="11" t="n"/>
      <c r="H262" s="11" t="n"/>
      <c r="I262" s="19" t="n"/>
      <c r="J262" s="19" t="n"/>
      <c r="K262" s="19" t="n"/>
      <c r="L262" s="19" t="n"/>
    </row>
    <row r="263">
      <c r="A263" s="25" t="inlineStr">
        <is>
          <t>H. Co-activité &amp; plan de prévention</t>
        </is>
      </c>
      <c r="B263" s="25" t="inlineStr">
        <is>
          <t>PPSPS</t>
        </is>
      </c>
      <c r="C263" s="26" t="inlineStr">
        <is>
          <t>H.12</t>
        </is>
      </c>
      <c r="D263" s="6" t="inlineStr">
        <is>
          <t>Participation au PGCSPS du coordonnateur SPS</t>
        </is>
      </c>
      <c r="E263" s="27" t="inlineStr">
        <is>
          <t>Art. L.4532-8</t>
        </is>
      </c>
      <c r="F263" s="11" t="n"/>
      <c r="G263" s="11" t="n"/>
      <c r="H263" s="11" t="n"/>
      <c r="I263" s="19" t="n"/>
      <c r="J263" s="19" t="n"/>
      <c r="K263" s="19" t="n"/>
      <c r="L263" s="19" t="n"/>
    </row>
    <row r="264">
      <c r="A264" s="25" t="inlineStr">
        <is>
          <t>H. Co-activité &amp; plan de prévention</t>
        </is>
      </c>
      <c r="B264" s="25" t="inlineStr">
        <is>
          <t>PPSPS</t>
        </is>
      </c>
      <c r="C264" s="26" t="inlineStr">
        <is>
          <t>H.13</t>
        </is>
      </c>
      <c r="D264" s="6" t="inlineStr">
        <is>
          <t>Mesures spécifiques pour interventions simultanées (organisation des phases)</t>
        </is>
      </c>
      <c r="E264" s="27" t="inlineStr">
        <is>
          <t>Art. R.4532-65</t>
        </is>
      </c>
      <c r="F264" s="11" t="n"/>
      <c r="G264" s="11" t="n"/>
      <c r="H264" s="11" t="n"/>
      <c r="I264" s="19" t="n"/>
      <c r="J264" s="19" t="n"/>
      <c r="K264" s="19" t="n"/>
      <c r="L264" s="19" t="n"/>
    </row>
    <row r="265">
      <c r="A265" s="25" t="inlineStr">
        <is>
          <t>H. Co-activité &amp; plan de prévention</t>
        </is>
      </c>
      <c r="B265" s="25" t="inlineStr">
        <is>
          <t>Carte BTP</t>
        </is>
      </c>
      <c r="C265" s="26" t="inlineStr">
        <is>
          <t>H.14</t>
        </is>
      </c>
      <c r="D265" s="6" t="inlineStr">
        <is>
          <t>Tous salariés intervenant chantier BTP munis carte CIBTP</t>
        </is>
      </c>
      <c r="E265" s="27" t="inlineStr">
        <is>
          <t>Art. R.8291-1</t>
        </is>
      </c>
      <c r="F265" s="11" t="n"/>
      <c r="G265" s="11" t="n"/>
      <c r="H265" s="11" t="n"/>
      <c r="I265" s="19" t="n"/>
      <c r="J265" s="19" t="n"/>
      <c r="K265" s="19" t="n"/>
      <c r="L265" s="19" t="n"/>
    </row>
    <row r="266">
      <c r="A266" s="25" t="inlineStr">
        <is>
          <t>H. Co-activité &amp; plan de prévention</t>
        </is>
      </c>
      <c r="B266" s="25" t="inlineStr">
        <is>
          <t>Carte BTP</t>
        </is>
      </c>
      <c r="C266" s="26" t="inlineStr">
        <is>
          <t>H.15</t>
        </is>
      </c>
      <c r="D266" s="6" t="inlineStr">
        <is>
          <t>Carte BTP renouvelée à chaque embauche</t>
        </is>
      </c>
      <c r="E266" s="27" t="inlineStr">
        <is>
          <t>Art. R.8291-1</t>
        </is>
      </c>
      <c r="F266" s="11" t="n"/>
      <c r="G266" s="11" t="n"/>
      <c r="H266" s="11" t="n"/>
      <c r="I266" s="19" t="n"/>
      <c r="J266" s="19" t="n"/>
      <c r="K266" s="19" t="n"/>
      <c r="L266" s="19" t="n"/>
    </row>
    <row r="267">
      <c r="A267" s="25" t="inlineStr">
        <is>
          <t>H. Co-activité &amp; plan de prévention</t>
        </is>
      </c>
      <c r="B267" s="25" t="inlineStr">
        <is>
          <t>Carte BTP</t>
        </is>
      </c>
      <c r="C267" s="26" t="inlineStr">
        <is>
          <t>H.16</t>
        </is>
      </c>
      <c r="D267" s="6" t="inlineStr">
        <is>
          <t>Présentation à tout contrôle (Inspection, URSSAF, OPPBTP, MOA)</t>
        </is>
      </c>
      <c r="E267" s="27" t="inlineStr">
        <is>
          <t>Art. R.8291-1</t>
        </is>
      </c>
      <c r="F267" s="11" t="n"/>
      <c r="G267" s="11" t="n"/>
      <c r="H267" s="11" t="n"/>
      <c r="I267" s="19" t="n"/>
      <c r="J267" s="19" t="n"/>
      <c r="K267" s="19" t="n"/>
      <c r="L267" s="19" t="n"/>
    </row>
    <row r="268">
      <c r="A268" s="25" t="inlineStr">
        <is>
          <t>H. Co-activité &amp; plan de prévention</t>
        </is>
      </c>
      <c r="B268" s="25" t="inlineStr">
        <is>
          <t>ERP en exploitation</t>
        </is>
      </c>
      <c r="C268" s="26" t="inlineStr">
        <is>
          <t>H.17</t>
        </is>
      </c>
      <c r="D268" s="6" t="inlineStr">
        <is>
          <t>Coordination avec responsable d'exploitation client</t>
        </is>
      </c>
      <c r="E268" s="27" t="inlineStr">
        <is>
          <t>Règl. sécurité ERP</t>
        </is>
      </c>
      <c r="F268" s="11" t="n"/>
      <c r="G268" s="11" t="n"/>
      <c r="H268" s="11" t="n"/>
      <c r="I268" s="19" t="n"/>
      <c r="J268" s="19" t="n"/>
      <c r="K268" s="19" t="n"/>
      <c r="L268" s="19" t="n"/>
    </row>
    <row r="269">
      <c r="A269" s="25" t="inlineStr">
        <is>
          <t>H. Co-activité &amp; plan de prévention</t>
        </is>
      </c>
      <c r="B269" s="25" t="inlineStr">
        <is>
          <t>ERP en exploitation</t>
        </is>
      </c>
      <c r="C269" s="26" t="inlineStr">
        <is>
          <t>H.18</t>
        </is>
      </c>
      <c r="D269" s="6" t="inlineStr">
        <is>
          <t>Mise hors service partielle SSI en accord avec exploitant</t>
        </is>
      </c>
      <c r="E269" s="27" t="inlineStr">
        <is>
          <t>Règl. sécurité ERP</t>
        </is>
      </c>
      <c r="F269" s="11" t="n"/>
      <c r="G269" s="11" t="n"/>
      <c r="H269" s="11" t="n"/>
      <c r="I269" s="19" t="n"/>
      <c r="J269" s="19" t="n"/>
      <c r="K269" s="19" t="n"/>
      <c r="L269" s="19" t="n"/>
    </row>
    <row r="270">
      <c r="A270" s="25" t="inlineStr">
        <is>
          <t>H. Co-activité &amp; plan de prévention</t>
        </is>
      </c>
      <c r="B270" s="25" t="inlineStr">
        <is>
          <t>ERP en exploitation</t>
        </is>
      </c>
      <c r="C270" s="26" t="inlineStr">
        <is>
          <t>H.19</t>
        </is>
      </c>
      <c r="D270" s="6" t="inlineStr">
        <is>
          <t>Affichage nature et durée intervention à proximité</t>
        </is>
      </c>
      <c r="E270" s="27" t="inlineStr">
        <is>
          <t>Bonne pratique</t>
        </is>
      </c>
      <c r="F270" s="11" t="n"/>
      <c r="G270" s="11" t="n"/>
      <c r="H270" s="11" t="n"/>
      <c r="I270" s="19" t="n"/>
      <c r="J270" s="19" t="n"/>
      <c r="K270" s="19" t="n"/>
      <c r="L270" s="19" t="n"/>
    </row>
    <row r="271">
      <c r="A271" s="25" t="inlineStr">
        <is>
          <t>H. Co-activité &amp; plan de prévention</t>
        </is>
      </c>
      <c r="B271" s="25" t="inlineStr">
        <is>
          <t>ERP en exploitation</t>
        </is>
      </c>
      <c r="C271" s="26" t="inlineStr">
        <is>
          <t>H.20</t>
        </is>
      </c>
      <c r="D271" s="6" t="inlineStr">
        <is>
          <t>Maintien des dégagements et issues de secours</t>
        </is>
      </c>
      <c r="E271" s="27" t="inlineStr">
        <is>
          <t>Règl. sécurité ERP</t>
        </is>
      </c>
      <c r="F271" s="11" t="n"/>
      <c r="G271" s="11" t="n"/>
      <c r="H271" s="11" t="n"/>
      <c r="I271" s="19" t="n"/>
      <c r="J271" s="19" t="n"/>
      <c r="K271" s="19" t="n"/>
      <c r="L271" s="19" t="n"/>
    </row>
    <row r="272">
      <c r="A272" s="25" t="inlineStr">
        <is>
          <t>H. Co-activité &amp; plan de prévention</t>
        </is>
      </c>
      <c r="B272" s="25" t="inlineStr">
        <is>
          <t>ERP en exploitation</t>
        </is>
      </c>
      <c r="C272" s="26" t="inlineStr">
        <is>
          <t>H.21</t>
        </is>
      </c>
      <c r="D272" s="6" t="inlineStr">
        <is>
          <t>Communication aux occupants en cas de test évacuation</t>
        </is>
      </c>
      <c r="E272" s="27" t="inlineStr">
        <is>
          <t>Bonne pratique</t>
        </is>
      </c>
      <c r="F272" s="11" t="n"/>
      <c r="G272" s="11" t="n"/>
      <c r="H272" s="11" t="n"/>
      <c r="I272" s="19" t="n"/>
      <c r="J272" s="19" t="n"/>
      <c r="K272" s="19" t="n"/>
      <c r="L272" s="19" t="n"/>
    </row>
    <row r="273">
      <c r="A273" s="25" t="inlineStr">
        <is>
          <t>H. Co-activité &amp; plan de prévention</t>
        </is>
      </c>
      <c r="B273" s="25" t="inlineStr">
        <is>
          <t>Sous-traitants</t>
        </is>
      </c>
      <c r="C273" s="26" t="inlineStr">
        <is>
          <t>H.22</t>
        </is>
      </c>
      <c r="D273" s="6" t="inlineStr">
        <is>
          <t>Sous-traitants déclarés (Art. L.8222-1 — solidarité financière)</t>
        </is>
      </c>
      <c r="E273" s="27" t="inlineStr">
        <is>
          <t>Art. L.8222-1</t>
        </is>
      </c>
      <c r="F273" s="11" t="n"/>
      <c r="G273" s="11" t="n"/>
      <c r="H273" s="11" t="n"/>
      <c r="I273" s="19" t="n"/>
      <c r="J273" s="19" t="n"/>
      <c r="K273" s="19" t="n"/>
      <c r="L273" s="19" t="n"/>
    </row>
    <row r="274">
      <c r="A274" s="25" t="inlineStr">
        <is>
          <t>H. Co-activité &amp; plan de prévention</t>
        </is>
      </c>
      <c r="B274" s="25" t="inlineStr">
        <is>
          <t>Sous-traitants</t>
        </is>
      </c>
      <c r="C274" s="26" t="inlineStr">
        <is>
          <t>H.23</t>
        </is>
      </c>
      <c r="D274" s="6" t="inlineStr">
        <is>
          <t>Vérification cartes BTP des sous-traitants</t>
        </is>
      </c>
      <c r="E274" s="27" t="inlineStr">
        <is>
          <t>Art. R.8291-1</t>
        </is>
      </c>
      <c r="F274" s="11" t="n"/>
      <c r="G274" s="11" t="n"/>
      <c r="H274" s="11" t="n"/>
      <c r="I274" s="19" t="n"/>
      <c r="J274" s="19" t="n"/>
      <c r="K274" s="19" t="n"/>
      <c r="L274" s="19" t="n"/>
    </row>
    <row r="275">
      <c r="A275" s="25" t="inlineStr">
        <is>
          <t>H. Co-activité &amp; plan de prévention</t>
        </is>
      </c>
      <c r="B275" s="25" t="inlineStr">
        <is>
          <t>Sous-traitants</t>
        </is>
      </c>
      <c r="C275" s="26" t="inlineStr">
        <is>
          <t>H.24</t>
        </is>
      </c>
      <c r="D275" s="6" t="inlineStr">
        <is>
          <t>Attestations sociales et fiscales sous-traitants à jour</t>
        </is>
      </c>
      <c r="E275" s="27" t="inlineStr">
        <is>
          <t>Art. D.8222-5</t>
        </is>
      </c>
      <c r="F275" s="11" t="n"/>
      <c r="G275" s="11" t="n"/>
      <c r="H275" s="11" t="n"/>
      <c r="I275" s="19" t="n"/>
      <c r="J275" s="19" t="n"/>
      <c r="K275" s="19" t="n"/>
      <c r="L275" s="19" t="n"/>
    </row>
    <row r="276">
      <c r="A276" s="25" t="inlineStr">
        <is>
          <t>H. Co-activité &amp; plan de prévention</t>
        </is>
      </c>
      <c r="B276" s="25" t="inlineStr">
        <is>
          <t>Sous-traitants</t>
        </is>
      </c>
      <c r="C276" s="26" t="inlineStr">
        <is>
          <t>H.25</t>
        </is>
      </c>
      <c r="D276" s="6" t="inlineStr">
        <is>
          <t>Habilitations électriques sous-traitants vérifiées</t>
        </is>
      </c>
      <c r="E276" s="27" t="inlineStr">
        <is>
          <t>NF C 18-510</t>
        </is>
      </c>
      <c r="F276" s="11" t="n"/>
      <c r="G276" s="11" t="n"/>
      <c r="H276" s="11" t="n"/>
      <c r="I276" s="19" t="n"/>
      <c r="J276" s="19" t="n"/>
      <c r="K276" s="19" t="n"/>
      <c r="L276" s="19" t="n"/>
    </row>
    <row r="277">
      <c r="A277" s="25" t="inlineStr">
        <is>
          <t>H. Co-activité &amp; plan de prévention</t>
        </is>
      </c>
      <c r="B277" s="25" t="inlineStr">
        <is>
          <t>Sous-traitants</t>
        </is>
      </c>
      <c r="C277" s="26" t="inlineStr">
        <is>
          <t>H.26</t>
        </is>
      </c>
      <c r="D277" s="6" t="inlineStr">
        <is>
          <t>Plan de prévention IM2S ↔ sous-traitant signé</t>
        </is>
      </c>
      <c r="E277" s="27" t="inlineStr">
        <is>
          <t>Art. R.4512-7</t>
        </is>
      </c>
      <c r="F277" s="11" t="n"/>
      <c r="G277" s="11" t="n"/>
      <c r="H277" s="11" t="n"/>
      <c r="I277" s="19" t="n"/>
      <c r="J277" s="19" t="n"/>
      <c r="K277" s="19" t="n"/>
      <c r="L277" s="19" t="n"/>
    </row>
    <row r="278">
      <c r="A278" s="25" t="inlineStr">
        <is>
          <t>H. Co-activité &amp; plan de prévention</t>
        </is>
      </c>
      <c r="B278" s="25" t="inlineStr">
        <is>
          <t>Co-activité travaux</t>
        </is>
      </c>
      <c r="C278" s="26" t="inlineStr">
        <is>
          <t>H.27</t>
        </is>
      </c>
      <c r="D278" s="6" t="inlineStr">
        <is>
          <t>Balisage zones intervention (rubalise, panneaux)</t>
        </is>
      </c>
      <c r="E278" s="27" t="inlineStr">
        <is>
          <t>Bonne pratique</t>
        </is>
      </c>
      <c r="F278" s="11" t="n"/>
      <c r="G278" s="11" t="n"/>
      <c r="H278" s="11" t="n"/>
      <c r="I278" s="19" t="n"/>
      <c r="J278" s="19" t="n"/>
      <c r="K278" s="19" t="n"/>
      <c r="L278" s="19" t="n"/>
    </row>
    <row r="279">
      <c r="A279" s="25" t="inlineStr">
        <is>
          <t>H. Co-activité &amp; plan de prévention</t>
        </is>
      </c>
      <c r="B279" s="25" t="inlineStr">
        <is>
          <t>Co-activité travaux</t>
        </is>
      </c>
      <c r="C279" s="26" t="inlineStr">
        <is>
          <t>H.28</t>
        </is>
      </c>
      <c r="D279" s="6" t="inlineStr">
        <is>
          <t>Restitution état initial après travaux (nettoyage, retrait protections)</t>
        </is>
      </c>
      <c r="E279" s="27" t="inlineStr">
        <is>
          <t>Bonne pratique</t>
        </is>
      </c>
      <c r="F279" s="11" t="n"/>
      <c r="G279" s="11" t="n"/>
      <c r="H279" s="11" t="n"/>
      <c r="I279" s="19" t="n"/>
      <c r="J279" s="19" t="n"/>
      <c r="K279" s="19" t="n"/>
      <c r="L279" s="19" t="n"/>
    </row>
    <row r="280">
      <c r="A280" s="25" t="inlineStr">
        <is>
          <t>H. Co-activité &amp; plan de prévention</t>
        </is>
      </c>
      <c r="B280" s="25" t="inlineStr">
        <is>
          <t>Information mutuelle</t>
        </is>
      </c>
      <c r="C280" s="26" t="inlineStr">
        <is>
          <t>H.29</t>
        </is>
      </c>
      <c r="D280" s="6" t="inlineStr">
        <is>
          <t>IM2S informe client des risques importés par son intervention</t>
        </is>
      </c>
      <c r="E280" s="27" t="inlineStr">
        <is>
          <t>Art. R.4511-6</t>
        </is>
      </c>
      <c r="F280" s="11" t="n"/>
      <c r="G280" s="11" t="n"/>
      <c r="H280" s="11" t="n"/>
      <c r="I280" s="19" t="n"/>
      <c r="J280" s="19" t="n"/>
      <c r="K280" s="19" t="n"/>
      <c r="L280" s="19" t="n"/>
    </row>
    <row r="281">
      <c r="A281" s="25" t="inlineStr">
        <is>
          <t>H. Co-activité &amp; plan de prévention</t>
        </is>
      </c>
      <c r="B281" s="25" t="inlineStr">
        <is>
          <t>Information mutuelle</t>
        </is>
      </c>
      <c r="C281" s="26" t="inlineStr">
        <is>
          <t>H.30</t>
        </is>
      </c>
      <c r="D281" s="6" t="inlineStr">
        <is>
          <t>Client informe IM2S des risques propres du site</t>
        </is>
      </c>
      <c r="E281" s="27" t="inlineStr">
        <is>
          <t>Art. R.4511-6</t>
        </is>
      </c>
      <c r="F281" s="11" t="n"/>
      <c r="G281" s="11" t="n"/>
      <c r="H281" s="11" t="n"/>
      <c r="I281" s="19" t="n"/>
      <c r="J281" s="19" t="n"/>
      <c r="K281" s="19" t="n"/>
      <c r="L281" s="19" t="n"/>
    </row>
    <row r="282">
      <c r="A282" s="21" t="inlineStr">
        <is>
          <t>I. RPS, organisation, charge mentale</t>
        </is>
      </c>
      <c r="B282" s="21" t="inlineStr">
        <is>
          <t>Évaluation RPS</t>
        </is>
      </c>
      <c r="C282" s="22" t="inlineStr">
        <is>
          <t>I.01</t>
        </is>
      </c>
      <c r="D282" s="23" t="inlineStr">
        <is>
          <t>RPS évalués dans le DUERP (obligation depuis ANI 2008 + accord 2013)</t>
        </is>
      </c>
      <c r="E282" s="24" t="inlineStr">
        <is>
          <t>ANI 02/07/2008</t>
        </is>
      </c>
      <c r="F282" s="11" t="n"/>
      <c r="G282" s="11" t="n"/>
      <c r="H282" s="11" t="n"/>
      <c r="I282" s="19" t="n"/>
      <c r="J282" s="19" t="n"/>
      <c r="K282" s="19" t="n"/>
      <c r="L282" s="19" t="n"/>
    </row>
    <row r="283">
      <c r="A283" s="21" t="inlineStr">
        <is>
          <t>I. RPS, organisation, charge mentale</t>
        </is>
      </c>
      <c r="B283" s="21" t="inlineStr">
        <is>
          <t>Évaluation RPS</t>
        </is>
      </c>
      <c r="C283" s="22" t="inlineStr">
        <is>
          <t>I.02</t>
        </is>
      </c>
      <c r="D283" s="23" t="inlineStr">
        <is>
          <t>Outil d'évaluation RPS (questionnaire, entretien, observation)</t>
        </is>
      </c>
      <c r="E283" s="24" t="inlineStr">
        <is>
          <t>Bonne pratique</t>
        </is>
      </c>
      <c r="F283" s="11" t="n"/>
      <c r="G283" s="11" t="n"/>
      <c r="H283" s="11" t="n"/>
      <c r="I283" s="19" t="n"/>
      <c r="J283" s="19" t="n"/>
      <c r="K283" s="19" t="n"/>
      <c r="L283" s="19" t="n"/>
    </row>
    <row r="284">
      <c r="A284" s="21" t="inlineStr">
        <is>
          <t>I. RPS, organisation, charge mentale</t>
        </is>
      </c>
      <c r="B284" s="21" t="inlineStr">
        <is>
          <t>Évaluation RPS</t>
        </is>
      </c>
      <c r="C284" s="22" t="inlineStr">
        <is>
          <t>I.03</t>
        </is>
      </c>
      <c r="D284" s="23" t="inlineStr">
        <is>
          <t>Identification des 6 catégories de facteurs (intensité, exigences, conflits valeurs, etc.)</t>
        </is>
      </c>
      <c r="E284" s="24" t="inlineStr">
        <is>
          <t>INRS</t>
        </is>
      </c>
      <c r="F284" s="11" t="n"/>
      <c r="G284" s="11" t="n"/>
      <c r="H284" s="11" t="n"/>
      <c r="I284" s="19" t="n"/>
      <c r="J284" s="19" t="n"/>
      <c r="K284" s="19" t="n"/>
      <c r="L284" s="19" t="n"/>
    </row>
    <row r="285">
      <c r="A285" s="21" t="inlineStr">
        <is>
          <t>I. RPS, organisation, charge mentale</t>
        </is>
      </c>
      <c r="B285" s="21" t="inlineStr">
        <is>
          <t>Charge de travail</t>
        </is>
      </c>
      <c r="C285" s="22" t="inlineStr">
        <is>
          <t>I.04</t>
        </is>
      </c>
      <c r="D285" s="23" t="inlineStr">
        <is>
          <t>Évaluation des effectifs en fonction de la charge</t>
        </is>
      </c>
      <c r="E285" s="24" t="inlineStr">
        <is>
          <t>Art. L.4121-2</t>
        </is>
      </c>
      <c r="F285" s="11" t="n"/>
      <c r="G285" s="11" t="n"/>
      <c r="H285" s="11" t="n"/>
      <c r="I285" s="19" t="n"/>
      <c r="J285" s="19" t="n"/>
      <c r="K285" s="19" t="n"/>
      <c r="L285" s="19" t="n"/>
    </row>
    <row r="286">
      <c r="A286" s="21" t="inlineStr">
        <is>
          <t>I. RPS, organisation, charge mentale</t>
        </is>
      </c>
      <c r="B286" s="21" t="inlineStr">
        <is>
          <t>Charge de travail</t>
        </is>
      </c>
      <c r="C286" s="22" t="inlineStr">
        <is>
          <t>I.05</t>
        </is>
      </c>
      <c r="D286" s="23" t="inlineStr">
        <is>
          <t>Entretien individuel annuel sur charge de travail</t>
        </is>
      </c>
      <c r="E286" s="24" t="inlineStr">
        <is>
          <t>Art. L.6315-1</t>
        </is>
      </c>
      <c r="F286" s="11" t="n"/>
      <c r="G286" s="11" t="n"/>
      <c r="H286" s="11" t="n"/>
      <c r="I286" s="19" t="n"/>
      <c r="J286" s="19" t="n"/>
      <c r="K286" s="19" t="n"/>
      <c r="L286" s="19" t="n"/>
    </row>
    <row r="287">
      <c r="A287" s="21" t="inlineStr">
        <is>
          <t>I. RPS, organisation, charge mentale</t>
        </is>
      </c>
      <c r="B287" s="21" t="inlineStr">
        <is>
          <t>Charge de travail</t>
        </is>
      </c>
      <c r="C287" s="22" t="inlineStr">
        <is>
          <t>I.06</t>
        </is>
      </c>
      <c r="D287" s="23" t="inlineStr">
        <is>
          <t>Mécanisme d'alerte en cas de surcharge ponctuelle</t>
        </is>
      </c>
      <c r="E287" s="24" t="inlineStr">
        <is>
          <t>Bonne pratique</t>
        </is>
      </c>
      <c r="F287" s="11" t="n"/>
      <c r="G287" s="11" t="n"/>
      <c r="H287" s="11" t="n"/>
      <c r="I287" s="19" t="n"/>
      <c r="J287" s="19" t="n"/>
      <c r="K287" s="19" t="n"/>
      <c r="L287" s="19" t="n"/>
    </row>
    <row r="288">
      <c r="A288" s="21" t="inlineStr">
        <is>
          <t>I. RPS, organisation, charge mentale</t>
        </is>
      </c>
      <c r="B288" s="21" t="inlineStr">
        <is>
          <t>Astreintes</t>
        </is>
      </c>
      <c r="C288" s="22" t="inlineStr">
        <is>
          <t>I.07</t>
        </is>
      </c>
      <c r="D288" s="23" t="inlineStr">
        <is>
          <t>Cadre des astreintes formalisé (rotation, contrepartie, indemnités)</t>
        </is>
      </c>
      <c r="E288" s="24" t="inlineStr">
        <is>
          <t>Art. L.3121-9</t>
        </is>
      </c>
      <c r="F288" s="11" t="n"/>
      <c r="G288" s="11" t="n"/>
      <c r="H288" s="11" t="n"/>
      <c r="I288" s="19" t="n"/>
      <c r="J288" s="19" t="n"/>
      <c r="K288" s="19" t="n"/>
      <c r="L288" s="19" t="n"/>
    </row>
    <row r="289">
      <c r="A289" s="21" t="inlineStr">
        <is>
          <t>I. RPS, organisation, charge mentale</t>
        </is>
      </c>
      <c r="B289" s="21" t="inlineStr">
        <is>
          <t>Astreintes</t>
        </is>
      </c>
      <c r="C289" s="22" t="inlineStr">
        <is>
          <t>I.08</t>
        </is>
      </c>
      <c r="D289" s="23" t="inlineStr">
        <is>
          <t>Tableau de rotation des astreintes équitable</t>
        </is>
      </c>
      <c r="E289" s="24" t="inlineStr">
        <is>
          <t>Bonne pratique</t>
        </is>
      </c>
      <c r="F289" s="11" t="n"/>
      <c r="G289" s="11" t="n"/>
      <c r="H289" s="11" t="n"/>
      <c r="I289" s="19" t="n"/>
      <c r="J289" s="19" t="n"/>
      <c r="K289" s="19" t="n"/>
      <c r="L289" s="19" t="n"/>
    </row>
    <row r="290">
      <c r="A290" s="21" t="inlineStr">
        <is>
          <t>I. RPS, organisation, charge mentale</t>
        </is>
      </c>
      <c r="B290" s="21" t="inlineStr">
        <is>
          <t>Astreintes</t>
        </is>
      </c>
      <c r="C290" s="22" t="inlineStr">
        <is>
          <t>I.09</t>
        </is>
      </c>
      <c r="D290" s="23" t="inlineStr">
        <is>
          <t>Temps de repos respecté entre astreintes (11h consécutives min.)</t>
        </is>
      </c>
      <c r="E290" s="24" t="inlineStr">
        <is>
          <t>Art. L.3131-1</t>
        </is>
      </c>
      <c r="F290" s="11" t="n"/>
      <c r="G290" s="11" t="n"/>
      <c r="H290" s="11" t="n"/>
      <c r="I290" s="19" t="n"/>
      <c r="J290" s="19" t="n"/>
      <c r="K290" s="19" t="n"/>
      <c r="L290" s="19" t="n"/>
    </row>
    <row r="291">
      <c r="A291" s="21" t="inlineStr">
        <is>
          <t>I. RPS, organisation, charge mentale</t>
        </is>
      </c>
      <c r="B291" s="21" t="inlineStr">
        <is>
          <t>Droit déconnexion</t>
        </is>
      </c>
      <c r="C291" s="22" t="inlineStr">
        <is>
          <t>I.10</t>
        </is>
      </c>
      <c r="D291" s="23" t="inlineStr">
        <is>
          <t>Plages de déconnexion définies (loi El Khomri 2016)</t>
        </is>
      </c>
      <c r="E291" s="24" t="inlineStr">
        <is>
          <t>Art. L.2242-17</t>
        </is>
      </c>
      <c r="F291" s="11" t="n"/>
      <c r="G291" s="11" t="n"/>
      <c r="H291" s="11" t="n"/>
      <c r="I291" s="19" t="n"/>
      <c r="J291" s="19" t="n"/>
      <c r="K291" s="19" t="n"/>
      <c r="L291" s="19" t="n"/>
    </row>
    <row r="292">
      <c r="A292" s="21" t="inlineStr">
        <is>
          <t>I. RPS, organisation, charge mentale</t>
        </is>
      </c>
      <c r="B292" s="21" t="inlineStr">
        <is>
          <t>Droit déconnexion</t>
        </is>
      </c>
      <c r="C292" s="22" t="inlineStr">
        <is>
          <t>I.11</t>
        </is>
      </c>
      <c r="D292" s="23" t="inlineStr">
        <is>
          <t>Charte ou note interne sur usage des outils numériques hors temps de travail</t>
        </is>
      </c>
      <c r="E292" s="24" t="inlineStr">
        <is>
          <t>Bonne pratique</t>
        </is>
      </c>
      <c r="F292" s="11" t="n"/>
      <c r="G292" s="11" t="n"/>
      <c r="H292" s="11" t="n"/>
      <c r="I292" s="19" t="n"/>
      <c r="J292" s="19" t="n"/>
      <c r="K292" s="19" t="n"/>
      <c r="L292" s="19" t="n"/>
    </row>
    <row r="293">
      <c r="A293" s="21" t="inlineStr">
        <is>
          <t>I. RPS, organisation, charge mentale</t>
        </is>
      </c>
      <c r="B293" s="21" t="inlineStr">
        <is>
          <t>Travail isolé</t>
        </is>
      </c>
      <c r="C293" s="22" t="inlineStr">
        <is>
          <t>I.12</t>
        </is>
      </c>
      <c r="D293" s="23" t="inlineStr">
        <is>
          <t>Identification des situations de travail isolé (techniciens, chantiers nuit)</t>
        </is>
      </c>
      <c r="E293" s="24" t="inlineStr">
        <is>
          <t>Art. R.4543-19</t>
        </is>
      </c>
      <c r="F293" s="11" t="n"/>
      <c r="G293" s="11" t="n"/>
      <c r="H293" s="11" t="n"/>
      <c r="I293" s="19" t="n"/>
      <c r="J293" s="19" t="n"/>
      <c r="K293" s="19" t="n"/>
      <c r="L293" s="19" t="n"/>
    </row>
    <row r="294">
      <c r="A294" s="21" t="inlineStr">
        <is>
          <t>I. RPS, organisation, charge mentale</t>
        </is>
      </c>
      <c r="B294" s="21" t="inlineStr">
        <is>
          <t>Travail isolé</t>
        </is>
      </c>
      <c r="C294" s="22" t="inlineStr">
        <is>
          <t>I.13</t>
        </is>
      </c>
      <c r="D294" s="23" t="inlineStr">
        <is>
          <t>DATI (dispositif d'alarme travailleur isolé) si exposition prolongée</t>
        </is>
      </c>
      <c r="E294" s="24" t="inlineStr">
        <is>
          <t>INRS ED 985</t>
        </is>
      </c>
      <c r="F294" s="11" t="n"/>
      <c r="G294" s="11" t="n"/>
      <c r="H294" s="11" t="n"/>
      <c r="I294" s="19" t="n"/>
      <c r="J294" s="19" t="n"/>
      <c r="K294" s="19" t="n"/>
      <c r="L294" s="19" t="n"/>
    </row>
    <row r="295">
      <c r="A295" s="21" t="inlineStr">
        <is>
          <t>I. RPS, organisation, charge mentale</t>
        </is>
      </c>
      <c r="B295" s="21" t="inlineStr">
        <is>
          <t>Travail isolé</t>
        </is>
      </c>
      <c r="C295" s="22" t="inlineStr">
        <is>
          <t>I.14</t>
        </is>
      </c>
      <c r="D295" s="23" t="inlineStr">
        <is>
          <t>Procédure de point téléphonique régulier (début / fin mission)</t>
        </is>
      </c>
      <c r="E295" s="24" t="inlineStr">
        <is>
          <t>Bonne pratique</t>
        </is>
      </c>
      <c r="F295" s="11" t="n"/>
      <c r="G295" s="11" t="n"/>
      <c r="H295" s="11" t="n"/>
      <c r="I295" s="19" t="n"/>
      <c r="J295" s="19" t="n"/>
      <c r="K295" s="19" t="n"/>
      <c r="L295" s="19" t="n"/>
    </row>
    <row r="296">
      <c r="A296" s="21" t="inlineStr">
        <is>
          <t>I. RPS, organisation, charge mentale</t>
        </is>
      </c>
      <c r="B296" s="21" t="inlineStr">
        <is>
          <t>Travail isolé</t>
        </is>
      </c>
      <c r="C296" s="22" t="inlineStr">
        <is>
          <t>I.15</t>
        </is>
      </c>
      <c r="D296" s="23" t="inlineStr">
        <is>
          <t>Identification des sites à risque renforcé (sous-sols sans réseau)</t>
        </is>
      </c>
      <c r="E296" s="24" t="inlineStr">
        <is>
          <t>Bonne pratique</t>
        </is>
      </c>
      <c r="F296" s="11" t="n"/>
      <c r="G296" s="11" t="n"/>
      <c r="H296" s="11" t="n"/>
      <c r="I296" s="19" t="n"/>
      <c r="J296" s="19" t="n"/>
      <c r="K296" s="19" t="n"/>
      <c r="L296" s="19" t="n"/>
    </row>
    <row r="297">
      <c r="A297" s="21" t="inlineStr">
        <is>
          <t>I. RPS, organisation, charge mentale</t>
        </is>
      </c>
      <c r="B297" s="21" t="inlineStr">
        <is>
          <t>Harcèlement</t>
        </is>
      </c>
      <c r="C297" s="22" t="inlineStr">
        <is>
          <t>I.16</t>
        </is>
      </c>
      <c r="D297" s="23" t="inlineStr">
        <is>
          <t>Référent harcèlement désigné (loi 05/09/2018, à partir 11 salariés)</t>
        </is>
      </c>
      <c r="E297" s="24" t="inlineStr">
        <is>
          <t>Art. L.1153-5-1</t>
        </is>
      </c>
      <c r="F297" s="11" t="n"/>
      <c r="G297" s="11" t="n"/>
      <c r="H297" s="11" t="n"/>
      <c r="I297" s="19" t="n"/>
      <c r="J297" s="19" t="n"/>
      <c r="K297" s="19" t="n"/>
      <c r="L297" s="19" t="n"/>
    </row>
    <row r="298">
      <c r="A298" s="21" t="inlineStr">
        <is>
          <t>I. RPS, organisation, charge mentale</t>
        </is>
      </c>
      <c r="B298" s="21" t="inlineStr">
        <is>
          <t>Harcèlement</t>
        </is>
      </c>
      <c r="C298" s="22" t="inlineStr">
        <is>
          <t>I.17</t>
        </is>
      </c>
      <c r="D298" s="23" t="inlineStr">
        <is>
          <t>Référent harcèlement du CSE désigné si CSE</t>
        </is>
      </c>
      <c r="E298" s="24" t="inlineStr">
        <is>
          <t>Art. L.2314-1</t>
        </is>
      </c>
      <c r="F298" s="11" t="n"/>
      <c r="G298" s="11" t="n"/>
      <c r="H298" s="11" t="n"/>
      <c r="I298" s="19" t="n"/>
      <c r="J298" s="19" t="n"/>
      <c r="K298" s="19" t="n"/>
      <c r="L298" s="19" t="n"/>
    </row>
    <row r="299">
      <c r="A299" s="21" t="inlineStr">
        <is>
          <t>I. RPS, organisation, charge mentale</t>
        </is>
      </c>
      <c r="B299" s="21" t="inlineStr">
        <is>
          <t>Harcèlement</t>
        </is>
      </c>
      <c r="C299" s="22" t="inlineStr">
        <is>
          <t>I.18</t>
        </is>
      </c>
      <c r="D299" s="23" t="inlineStr">
        <is>
          <t>Affichage des coordonnées référent harcèlement</t>
        </is>
      </c>
      <c r="E299" s="24" t="inlineStr">
        <is>
          <t>Art. D.1151-1</t>
        </is>
      </c>
      <c r="F299" s="11" t="n"/>
      <c r="G299" s="11" t="n"/>
      <c r="H299" s="11" t="n"/>
      <c r="I299" s="19" t="n"/>
      <c r="J299" s="19" t="n"/>
      <c r="K299" s="19" t="n"/>
      <c r="L299" s="19" t="n"/>
    </row>
    <row r="300">
      <c r="A300" s="21" t="inlineStr">
        <is>
          <t>I. RPS, organisation, charge mentale</t>
        </is>
      </c>
      <c r="B300" s="21" t="inlineStr">
        <is>
          <t>Harcèlement</t>
        </is>
      </c>
      <c r="C300" s="22" t="inlineStr">
        <is>
          <t>I.19</t>
        </is>
      </c>
      <c r="D300" s="23" t="inlineStr">
        <is>
          <t>Procédure de signalement et de traitement des situations</t>
        </is>
      </c>
      <c r="E300" s="24" t="inlineStr">
        <is>
          <t>Art. L.1153-5</t>
        </is>
      </c>
      <c r="F300" s="11" t="n"/>
      <c r="G300" s="11" t="n"/>
      <c r="H300" s="11" t="n"/>
      <c r="I300" s="19" t="n"/>
      <c r="J300" s="19" t="n"/>
      <c r="K300" s="19" t="n"/>
      <c r="L300" s="19" t="n"/>
    </row>
    <row r="301">
      <c r="A301" s="21" t="inlineStr">
        <is>
          <t>I. RPS, organisation, charge mentale</t>
        </is>
      </c>
      <c r="B301" s="21" t="inlineStr">
        <is>
          <t>Harcèlement</t>
        </is>
      </c>
      <c r="C301" s="22" t="inlineStr">
        <is>
          <t>I.20</t>
        </is>
      </c>
      <c r="D301" s="23" t="inlineStr">
        <is>
          <t>Information annuelle des salariés sur le harcèlement</t>
        </is>
      </c>
      <c r="E301" s="24" t="inlineStr">
        <is>
          <t>Art. L.1153-5</t>
        </is>
      </c>
      <c r="F301" s="11" t="n"/>
      <c r="G301" s="11" t="n"/>
      <c r="H301" s="11" t="n"/>
      <c r="I301" s="19" t="n"/>
      <c r="J301" s="19" t="n"/>
      <c r="K301" s="19" t="n"/>
      <c r="L301" s="19" t="n"/>
    </row>
    <row r="302">
      <c r="A302" s="21" t="inlineStr">
        <is>
          <t>I. RPS, organisation, charge mentale</t>
        </is>
      </c>
      <c r="B302" s="21" t="inlineStr">
        <is>
          <t>Violence</t>
        </is>
      </c>
      <c r="C302" s="22" t="inlineStr">
        <is>
          <t>I.21</t>
        </is>
      </c>
      <c r="D302" s="23" t="inlineStr">
        <is>
          <t>Règlement intérieur interdit toute violence (verbale, physique)</t>
        </is>
      </c>
      <c r="E302" s="24" t="inlineStr">
        <is>
          <t>Art. L.1321-2</t>
        </is>
      </c>
      <c r="F302" s="11" t="n"/>
      <c r="G302" s="11" t="n"/>
      <c r="H302" s="11" t="n"/>
      <c r="I302" s="19" t="n"/>
      <c r="J302" s="19" t="n"/>
      <c r="K302" s="19" t="n"/>
      <c r="L302" s="19" t="n"/>
    </row>
    <row r="303">
      <c r="A303" s="21" t="inlineStr">
        <is>
          <t>I. RPS, organisation, charge mentale</t>
        </is>
      </c>
      <c r="B303" s="21" t="inlineStr">
        <is>
          <t>Violence</t>
        </is>
      </c>
      <c r="C303" s="22" t="inlineStr">
        <is>
          <t>I.22</t>
        </is>
      </c>
      <c r="D303" s="23" t="inlineStr">
        <is>
          <t>Procédure de signalement des incidents</t>
        </is>
      </c>
      <c r="E303" s="24" t="inlineStr">
        <is>
          <t>Bonne pratique</t>
        </is>
      </c>
      <c r="F303" s="11" t="n"/>
      <c r="G303" s="11" t="n"/>
      <c r="H303" s="11" t="n"/>
      <c r="I303" s="19" t="n"/>
      <c r="J303" s="19" t="n"/>
      <c r="K303" s="19" t="n"/>
      <c r="L303" s="19" t="n"/>
    </row>
    <row r="304">
      <c r="A304" s="21" t="inlineStr">
        <is>
          <t>I. RPS, organisation, charge mentale</t>
        </is>
      </c>
      <c r="B304" s="21" t="inlineStr">
        <is>
          <t>Encadrement</t>
        </is>
      </c>
      <c r="C304" s="22" t="inlineStr">
        <is>
          <t>I.23</t>
        </is>
      </c>
      <c r="D304" s="23" t="inlineStr">
        <is>
          <t>Formation encadrement à la détection des RPS</t>
        </is>
      </c>
      <c r="E304" s="24" t="inlineStr">
        <is>
          <t>Bonne pratique</t>
        </is>
      </c>
      <c r="F304" s="11" t="n"/>
      <c r="G304" s="11" t="n"/>
      <c r="H304" s="11" t="n"/>
      <c r="I304" s="19" t="n"/>
      <c r="J304" s="19" t="n"/>
      <c r="K304" s="19" t="n"/>
      <c r="L304" s="19" t="n"/>
    </row>
    <row r="305">
      <c r="A305" s="21" t="inlineStr">
        <is>
          <t>I. RPS, organisation, charge mentale</t>
        </is>
      </c>
      <c r="B305" s="21" t="inlineStr">
        <is>
          <t>Encadrement</t>
        </is>
      </c>
      <c r="C305" s="22" t="inlineStr">
        <is>
          <t>I.24</t>
        </is>
      </c>
      <c r="D305" s="23" t="inlineStr">
        <is>
          <t>Soutien hiérarchique (présence, écoute, proximité)</t>
        </is>
      </c>
      <c r="E305" s="24" t="inlineStr">
        <is>
          <t>Bonne pratique</t>
        </is>
      </c>
      <c r="F305" s="11" t="n"/>
      <c r="G305" s="11" t="n"/>
      <c r="H305" s="11" t="n"/>
      <c r="I305" s="19" t="n"/>
      <c r="J305" s="19" t="n"/>
      <c r="K305" s="19" t="n"/>
      <c r="L305" s="19" t="n"/>
    </row>
    <row r="306">
      <c r="A306" s="21" t="inlineStr">
        <is>
          <t>I. RPS, organisation, charge mentale</t>
        </is>
      </c>
      <c r="B306" s="21" t="inlineStr">
        <is>
          <t>Encadrement</t>
        </is>
      </c>
      <c r="C306" s="22" t="inlineStr">
        <is>
          <t>I.25</t>
        </is>
      </c>
      <c r="D306" s="23" t="inlineStr">
        <is>
          <t>Reconnaissance régulière du travail (entretiens, retours)</t>
        </is>
      </c>
      <c r="E306" s="24" t="inlineStr">
        <is>
          <t>INRS</t>
        </is>
      </c>
      <c r="F306" s="11" t="n"/>
      <c r="G306" s="11" t="n"/>
      <c r="H306" s="11" t="n"/>
      <c r="I306" s="19" t="n"/>
      <c r="J306" s="19" t="n"/>
      <c r="K306" s="19" t="n"/>
      <c r="L306" s="19" t="n"/>
    </row>
    <row r="307">
      <c r="A307" s="21" t="inlineStr">
        <is>
          <t>I. RPS, organisation, charge mentale</t>
        </is>
      </c>
      <c r="B307" s="21" t="inlineStr">
        <is>
          <t>Soutien</t>
        </is>
      </c>
      <c r="C307" s="22" t="inlineStr">
        <is>
          <t>I.26</t>
        </is>
      </c>
      <c r="D307" s="23" t="inlineStr">
        <is>
          <t>Cahier de doléances ou boîte à idées (confirmé chez IM2S)</t>
        </is>
      </c>
      <c r="E307" s="24" t="inlineStr">
        <is>
          <t>Bonne pratique</t>
        </is>
      </c>
      <c r="F307" s="11" t="n"/>
      <c r="G307" s="11" t="n"/>
      <c r="H307" s="11" t="n"/>
      <c r="I307" s="19" t="n"/>
      <c r="J307" s="19" t="n"/>
      <c r="K307" s="19" t="n"/>
      <c r="L307" s="19" t="n"/>
    </row>
    <row r="308">
      <c r="A308" s="21" t="inlineStr">
        <is>
          <t>I. RPS, organisation, charge mentale</t>
        </is>
      </c>
      <c r="B308" s="21" t="inlineStr">
        <is>
          <t>Soutien</t>
        </is>
      </c>
      <c r="C308" s="22" t="inlineStr">
        <is>
          <t>I.27</t>
        </is>
      </c>
      <c r="D308" s="23" t="inlineStr">
        <is>
          <t>Causeries sécurité (confirmées chez IM2S)</t>
        </is>
      </c>
      <c r="E308" s="24" t="inlineStr">
        <is>
          <t>Bonne pratique</t>
        </is>
      </c>
      <c r="F308" s="11" t="n"/>
      <c r="G308" s="11" t="n"/>
      <c r="H308" s="11" t="n"/>
      <c r="I308" s="19" t="n"/>
      <c r="J308" s="19" t="n"/>
      <c r="K308" s="19" t="n"/>
      <c r="L308" s="19" t="n"/>
    </row>
    <row r="309">
      <c r="A309" s="21" t="inlineStr">
        <is>
          <t>I. RPS, organisation, charge mentale</t>
        </is>
      </c>
      <c r="B309" s="21" t="inlineStr">
        <is>
          <t>Soutien</t>
        </is>
      </c>
      <c r="C309" s="22" t="inlineStr">
        <is>
          <t>I.28</t>
        </is>
      </c>
      <c r="D309" s="23" t="inlineStr">
        <is>
          <t>Podcast interne (atout IM2S — IM2S Morning)</t>
        </is>
      </c>
      <c r="E309" s="24" t="inlineStr">
        <is>
          <t>Spécifique IM2S</t>
        </is>
      </c>
      <c r="F309" s="11" t="n"/>
      <c r="G309" s="11" t="n"/>
      <c r="H309" s="11" t="n"/>
      <c r="I309" s="19" t="n"/>
      <c r="J309" s="19" t="n"/>
      <c r="K309" s="19" t="n"/>
      <c r="L309" s="19" t="n"/>
    </row>
    <row r="310">
      <c r="A310" s="21" t="inlineStr">
        <is>
          <t>I. RPS, organisation, charge mentale</t>
        </is>
      </c>
      <c r="B310" s="21" t="inlineStr">
        <is>
          <t>Soutien</t>
        </is>
      </c>
      <c r="C310" s="22" t="inlineStr">
        <is>
          <t>I.29</t>
        </is>
      </c>
      <c r="D310" s="23" t="inlineStr">
        <is>
          <t>Convivialité, événements d'équipe (cohésion)</t>
        </is>
      </c>
      <c r="E310" s="24" t="inlineStr">
        <is>
          <t>Bonne pratique</t>
        </is>
      </c>
      <c r="F310" s="11" t="n"/>
      <c r="G310" s="11" t="n"/>
      <c r="H310" s="11" t="n"/>
      <c r="I310" s="19" t="n"/>
      <c r="J310" s="19" t="n"/>
      <c r="K310" s="19" t="n"/>
      <c r="L310" s="19" t="n"/>
    </row>
    <row r="311">
      <c r="A311" s="21" t="inlineStr">
        <is>
          <t>I. RPS, organisation, charge mentale</t>
        </is>
      </c>
      <c r="B311" s="21" t="inlineStr">
        <is>
          <t>Conciliation</t>
        </is>
      </c>
      <c r="C311" s="22" t="inlineStr">
        <is>
          <t>I.30</t>
        </is>
      </c>
      <c r="D311" s="23" t="inlineStr">
        <is>
          <t>Horaires permettant conciliation vie pro / vie perso</t>
        </is>
      </c>
      <c r="E311" s="24" t="inlineStr">
        <is>
          <t>Art. L.2242-17</t>
        </is>
      </c>
      <c r="F311" s="11" t="n"/>
      <c r="G311" s="11" t="n"/>
      <c r="H311" s="11" t="n"/>
      <c r="I311" s="19" t="n"/>
      <c r="J311" s="19" t="n"/>
      <c r="K311" s="19" t="n"/>
      <c r="L311" s="19" t="n"/>
    </row>
    <row r="312">
      <c r="A312" s="21" t="inlineStr">
        <is>
          <t>I. RPS, organisation, charge mentale</t>
        </is>
      </c>
      <c r="B312" s="21" t="inlineStr">
        <is>
          <t>Conciliation</t>
        </is>
      </c>
      <c r="C312" s="22" t="inlineStr">
        <is>
          <t>I.31</t>
        </is>
      </c>
      <c r="D312" s="23" t="inlineStr">
        <is>
          <t>Télétravail partiel étudié si compatible (UT1 admin)</t>
        </is>
      </c>
      <c r="E312" s="24" t="inlineStr">
        <is>
          <t>Art. L.1222-9</t>
        </is>
      </c>
      <c r="F312" s="11" t="n"/>
      <c r="G312" s="11" t="n"/>
      <c r="H312" s="11" t="n"/>
      <c r="I312" s="19" t="n"/>
      <c r="J312" s="19" t="n"/>
      <c r="K312" s="19" t="n"/>
      <c r="L312" s="19" t="n"/>
    </row>
    <row r="313">
      <c r="A313" s="21" t="inlineStr">
        <is>
          <t>I. RPS, organisation, charge mentale</t>
        </is>
      </c>
      <c r="B313" s="21" t="inlineStr">
        <is>
          <t>Médical</t>
        </is>
      </c>
      <c r="C313" s="22" t="inlineStr">
        <is>
          <t>I.32</t>
        </is>
      </c>
      <c r="D313" s="23" t="inlineStr">
        <is>
          <t>Médecin du travail consulté sur stress et RPS</t>
        </is>
      </c>
      <c r="E313" s="24" t="inlineStr">
        <is>
          <t>Art. R.4624-1</t>
        </is>
      </c>
      <c r="F313" s="11" t="n"/>
      <c r="G313" s="11" t="n"/>
      <c r="H313" s="11" t="n"/>
      <c r="I313" s="19" t="n"/>
      <c r="J313" s="19" t="n"/>
      <c r="K313" s="19" t="n"/>
      <c r="L313" s="19" t="n"/>
    </row>
    <row r="314">
      <c r="A314" s="21" t="inlineStr">
        <is>
          <t>I. RPS, organisation, charge mentale</t>
        </is>
      </c>
      <c r="B314" s="21" t="inlineStr">
        <is>
          <t>Médical</t>
        </is>
      </c>
      <c r="C314" s="22" t="inlineStr">
        <is>
          <t>I.33</t>
        </is>
      </c>
      <c r="D314" s="23" t="inlineStr">
        <is>
          <t>Examen médical d'embauche et de suivi périodique</t>
        </is>
      </c>
      <c r="E314" s="24" t="inlineStr">
        <is>
          <t>Art. R.4624-10</t>
        </is>
      </c>
      <c r="F314" s="11" t="n"/>
      <c r="G314" s="11" t="n"/>
      <c r="H314" s="11" t="n"/>
      <c r="I314" s="19" t="n"/>
      <c r="J314" s="19" t="n"/>
      <c r="K314" s="19" t="n"/>
      <c r="L314" s="19" t="n"/>
    </row>
    <row r="315">
      <c r="A315" s="21" t="inlineStr">
        <is>
          <t>I. RPS, organisation, charge mentale</t>
        </is>
      </c>
      <c r="B315" s="21" t="inlineStr">
        <is>
          <t>Absentéisme</t>
        </is>
      </c>
      <c r="C315" s="22" t="inlineStr">
        <is>
          <t>I.34</t>
        </is>
      </c>
      <c r="D315" s="23" t="inlineStr">
        <is>
          <t>Analyse des causes d'absentéisme (taux, durée, motif)</t>
        </is>
      </c>
      <c r="E315" s="24" t="inlineStr">
        <is>
          <t>Bonne pratique</t>
        </is>
      </c>
      <c r="F315" s="11" t="n"/>
      <c r="G315" s="11" t="n"/>
      <c r="H315" s="11" t="n"/>
      <c r="I315" s="19" t="n"/>
      <c r="J315" s="19" t="n"/>
      <c r="K315" s="19" t="n"/>
      <c r="L315" s="19" t="n"/>
    </row>
    <row r="316">
      <c r="A316" s="21" t="inlineStr">
        <is>
          <t>I. RPS, organisation, charge mentale</t>
        </is>
      </c>
      <c r="B316" s="21" t="inlineStr">
        <is>
          <t>Absentéisme</t>
        </is>
      </c>
      <c r="C316" s="22" t="inlineStr">
        <is>
          <t>I.35</t>
        </is>
      </c>
      <c r="D316" s="23" t="inlineStr">
        <is>
          <t>Surveillance médicale renforcée si absentéisme &gt; moyenne</t>
        </is>
      </c>
      <c r="E316" s="24" t="inlineStr">
        <is>
          <t>Bonne pratique</t>
        </is>
      </c>
      <c r="F316" s="11" t="n"/>
      <c r="G316" s="11" t="n"/>
      <c r="H316" s="11" t="n"/>
      <c r="I316" s="19" t="n"/>
      <c r="J316" s="19" t="n"/>
      <c r="K316" s="19" t="n"/>
      <c r="L316" s="19" t="n"/>
    </row>
    <row r="317">
      <c r="A317" s="21" t="inlineStr">
        <is>
          <t>I. RPS, organisation, charge mentale</t>
        </is>
      </c>
      <c r="B317" s="21" t="inlineStr">
        <is>
          <t>Addictions</t>
        </is>
      </c>
      <c r="C317" s="22" t="inlineStr">
        <is>
          <t>I.36</t>
        </is>
      </c>
      <c r="D317" s="23" t="inlineStr">
        <is>
          <t>Politique de prévention addictions (alcool, drogues, médicaments)</t>
        </is>
      </c>
      <c r="E317" s="24" t="inlineStr">
        <is>
          <t>INRS ED 6147</t>
        </is>
      </c>
      <c r="F317" s="11" t="n"/>
      <c r="G317" s="11" t="n"/>
      <c r="H317" s="11" t="n"/>
      <c r="I317" s="19" t="n"/>
      <c r="J317" s="19" t="n"/>
      <c r="K317" s="19" t="n"/>
      <c r="L317" s="19" t="n"/>
    </row>
    <row r="318">
      <c r="A318" s="21" t="inlineStr">
        <is>
          <t>I. RPS, organisation, charge mentale</t>
        </is>
      </c>
      <c r="B318" s="21" t="inlineStr">
        <is>
          <t>Addictions</t>
        </is>
      </c>
      <c r="C318" s="22" t="inlineStr">
        <is>
          <t>I.37</t>
        </is>
      </c>
      <c r="D318" s="23" t="inlineStr">
        <is>
          <t>Information et formation encadrement sur addictions</t>
        </is>
      </c>
      <c r="E318" s="24" t="inlineStr">
        <is>
          <t>INRS ED 6147</t>
        </is>
      </c>
      <c r="F318" s="11" t="n"/>
      <c r="G318" s="11" t="n"/>
      <c r="H318" s="11" t="n"/>
      <c r="I318" s="19" t="n"/>
      <c r="J318" s="19" t="n"/>
      <c r="K318" s="19" t="n"/>
      <c r="L318" s="19" t="n"/>
    </row>
    <row r="319">
      <c r="A319" s="25" t="inlineStr">
        <is>
          <t>J. Bruit, vibrations, ambiances physiques</t>
        </is>
      </c>
      <c r="B319" s="25" t="inlineStr">
        <is>
          <t>Bruit - Évaluation</t>
        </is>
      </c>
      <c r="C319" s="26" t="inlineStr">
        <is>
          <t>J.01</t>
        </is>
      </c>
      <c r="D319" s="6" t="inlineStr">
        <is>
          <t>Mesures de bruit aux postes / activités à risque</t>
        </is>
      </c>
      <c r="E319" s="27" t="inlineStr">
        <is>
          <t>Art. R.4433-1</t>
        </is>
      </c>
      <c r="F319" s="11" t="n"/>
      <c r="G319" s="11" t="n"/>
      <c r="H319" s="11" t="n"/>
      <c r="I319" s="19" t="n"/>
      <c r="J319" s="19" t="n"/>
      <c r="K319" s="19" t="n"/>
      <c r="L319" s="19" t="n"/>
    </row>
    <row r="320">
      <c r="A320" s="25" t="inlineStr">
        <is>
          <t>J. Bruit, vibrations, ambiances physiques</t>
        </is>
      </c>
      <c r="B320" s="25" t="inlineStr">
        <is>
          <t>Bruit - Évaluation</t>
        </is>
      </c>
      <c r="C320" s="26" t="inlineStr">
        <is>
          <t>J.02</t>
        </is>
      </c>
      <c r="D320" s="6" t="inlineStr">
        <is>
          <t>Cartographie sonore documentée (date, méthode, postes)</t>
        </is>
      </c>
      <c r="E320" s="27" t="inlineStr">
        <is>
          <t>Art. R.4433-7</t>
        </is>
      </c>
      <c r="F320" s="11" t="n"/>
      <c r="G320" s="11" t="n"/>
      <c r="H320" s="11" t="n"/>
      <c r="I320" s="19" t="n"/>
      <c r="J320" s="19" t="n"/>
      <c r="K320" s="19" t="n"/>
      <c r="L320" s="19" t="n"/>
    </row>
    <row r="321">
      <c r="A321" s="25" t="inlineStr">
        <is>
          <t>J. Bruit, vibrations, ambiances physiques</t>
        </is>
      </c>
      <c r="B321" s="25" t="inlineStr">
        <is>
          <t>Bruit - Évaluation</t>
        </is>
      </c>
      <c r="C321" s="26" t="inlineStr">
        <is>
          <t>J.03</t>
        </is>
      </c>
      <c r="D321" s="6" t="inlineStr">
        <is>
          <t>Renouvellement mesures tous les 3 ans</t>
        </is>
      </c>
      <c r="E321" s="27" t="inlineStr">
        <is>
          <t>Art. R.4433-7</t>
        </is>
      </c>
      <c r="F321" s="11" t="n"/>
      <c r="G321" s="11" t="n"/>
      <c r="H321" s="11" t="n"/>
      <c r="I321" s="19" t="n"/>
      <c r="J321" s="19" t="n"/>
      <c r="K321" s="19" t="n"/>
      <c r="L321" s="19" t="n"/>
    </row>
    <row r="322">
      <c r="A322" s="25" t="inlineStr">
        <is>
          <t>J. Bruit, vibrations, ambiances physiques</t>
        </is>
      </c>
      <c r="B322" s="25" t="inlineStr">
        <is>
          <t>Bruit - VLEP</t>
        </is>
      </c>
      <c r="C322" s="26" t="inlineStr">
        <is>
          <t>J.04</t>
        </is>
      </c>
      <c r="D322" s="6" t="inlineStr">
        <is>
          <t>VLEP exposition 8h = 87 dB(A) respectée</t>
        </is>
      </c>
      <c r="E322" s="27" t="inlineStr">
        <is>
          <t>Art. R.4431-2</t>
        </is>
      </c>
      <c r="F322" s="11" t="n"/>
      <c r="G322" s="11" t="n"/>
      <c r="H322" s="11" t="n"/>
      <c r="I322" s="19" t="n"/>
      <c r="J322" s="19" t="n"/>
      <c r="K322" s="19" t="n"/>
      <c r="L322" s="19" t="n"/>
    </row>
    <row r="323">
      <c r="A323" s="25" t="inlineStr">
        <is>
          <t>J. Bruit, vibrations, ambiances physiques</t>
        </is>
      </c>
      <c r="B323" s="25" t="inlineStr">
        <is>
          <t>Bruit - VLEP</t>
        </is>
      </c>
      <c r="C323" s="26" t="inlineStr">
        <is>
          <t>J.05</t>
        </is>
      </c>
      <c r="D323" s="6" t="inlineStr">
        <is>
          <t>Valeur d'action 85 dB(A) — protections obligatoires</t>
        </is>
      </c>
      <c r="E323" s="27" t="inlineStr">
        <is>
          <t>Art. R.4434-7</t>
        </is>
      </c>
      <c r="F323" s="11" t="n"/>
      <c r="G323" s="11" t="n"/>
      <c r="H323" s="11" t="n"/>
      <c r="I323" s="19" t="n"/>
      <c r="J323" s="19" t="n"/>
      <c r="K323" s="19" t="n"/>
      <c r="L323" s="19" t="n"/>
    </row>
    <row r="324">
      <c r="A324" s="25" t="inlineStr">
        <is>
          <t>J. Bruit, vibrations, ambiances physiques</t>
        </is>
      </c>
      <c r="B324" s="25" t="inlineStr">
        <is>
          <t>Bruit - VLEP</t>
        </is>
      </c>
      <c r="C324" s="26" t="inlineStr">
        <is>
          <t>J.06</t>
        </is>
      </c>
      <c r="D324" s="6" t="inlineStr">
        <is>
          <t>Valeur d'action 80 dB(A) — protections à disposition</t>
        </is>
      </c>
      <c r="E324" s="27" t="inlineStr">
        <is>
          <t>Art. R.4434-7</t>
        </is>
      </c>
      <c r="F324" s="11" t="n"/>
      <c r="G324" s="11" t="n"/>
      <c r="H324" s="11" t="n"/>
      <c r="I324" s="19" t="n"/>
      <c r="J324" s="19" t="n"/>
      <c r="K324" s="19" t="n"/>
      <c r="L324" s="19" t="n"/>
    </row>
    <row r="325">
      <c r="A325" s="25" t="inlineStr">
        <is>
          <t>J. Bruit, vibrations, ambiances physiques</t>
        </is>
      </c>
      <c r="B325" s="25" t="inlineStr">
        <is>
          <t>Bruit - VLEP</t>
        </is>
      </c>
      <c r="C325" s="26" t="inlineStr">
        <is>
          <t>J.07</t>
        </is>
      </c>
      <c r="D325" s="6" t="inlineStr">
        <is>
          <t>Pression acoustique de crête 140 dB(C) respectée</t>
        </is>
      </c>
      <c r="E325" s="27" t="inlineStr">
        <is>
          <t>Art. R.4431-2</t>
        </is>
      </c>
      <c r="F325" s="11" t="n"/>
      <c r="G325" s="11" t="n"/>
      <c r="H325" s="11" t="n"/>
      <c r="I325" s="19" t="n"/>
      <c r="J325" s="19" t="n"/>
      <c r="K325" s="19" t="n"/>
      <c r="L325" s="19" t="n"/>
    </row>
    <row r="326">
      <c r="A326" s="25" t="inlineStr">
        <is>
          <t>J. Bruit, vibrations, ambiances physiques</t>
        </is>
      </c>
      <c r="B326" s="25" t="inlineStr">
        <is>
          <t>Bruit - EPI</t>
        </is>
      </c>
      <c r="C326" s="26" t="inlineStr">
        <is>
          <t>J.08</t>
        </is>
      </c>
      <c r="D326" s="6" t="inlineStr">
        <is>
          <t>Bouchons d'oreilles à usage unique disponibles aux postes</t>
        </is>
      </c>
      <c r="E326" s="27" t="inlineStr">
        <is>
          <t>NF EN 352-2</t>
        </is>
      </c>
      <c r="F326" s="11" t="n"/>
      <c r="G326" s="11" t="n"/>
      <c r="H326" s="11" t="n"/>
      <c r="I326" s="19" t="n"/>
      <c r="J326" s="19" t="n"/>
      <c r="K326" s="19" t="n"/>
      <c r="L326" s="19" t="n"/>
    </row>
    <row r="327">
      <c r="A327" s="25" t="inlineStr">
        <is>
          <t>J. Bruit, vibrations, ambiances physiques</t>
        </is>
      </c>
      <c r="B327" s="25" t="inlineStr">
        <is>
          <t>Bruit - EPI</t>
        </is>
      </c>
      <c r="C327" s="26" t="inlineStr">
        <is>
          <t>J.09</t>
        </is>
      </c>
      <c r="D327" s="6" t="inlineStr">
        <is>
          <t>Casques antibruit pour expositions prolongées</t>
        </is>
      </c>
      <c r="E327" s="27" t="inlineStr">
        <is>
          <t>NF EN 352-1</t>
        </is>
      </c>
      <c r="F327" s="11" t="n"/>
      <c r="G327" s="11" t="n"/>
      <c r="H327" s="11" t="n"/>
      <c r="I327" s="19" t="n"/>
      <c r="J327" s="19" t="n"/>
      <c r="K327" s="19" t="n"/>
      <c r="L327" s="19" t="n"/>
    </row>
    <row r="328">
      <c r="A328" s="25" t="inlineStr">
        <is>
          <t>J. Bruit, vibrations, ambiances physiques</t>
        </is>
      </c>
      <c r="B328" s="25" t="inlineStr">
        <is>
          <t>Bruit - EPI</t>
        </is>
      </c>
      <c r="C328" s="26" t="inlineStr">
        <is>
          <t>J.10</t>
        </is>
      </c>
      <c r="D328" s="6" t="inlineStr">
        <is>
          <t>Bouchons moulés pour salariés exposés régulièrement</t>
        </is>
      </c>
      <c r="E328" s="27" t="inlineStr">
        <is>
          <t>NF EN 352-2</t>
        </is>
      </c>
      <c r="F328" s="11" t="n"/>
      <c r="G328" s="11" t="n"/>
      <c r="H328" s="11" t="n"/>
      <c r="I328" s="19" t="n"/>
      <c r="J328" s="19" t="n"/>
      <c r="K328" s="19" t="n"/>
      <c r="L328" s="19" t="n"/>
    </row>
    <row r="329">
      <c r="A329" s="25" t="inlineStr">
        <is>
          <t>J. Bruit, vibrations, ambiances physiques</t>
        </is>
      </c>
      <c r="B329" s="25" t="inlineStr">
        <is>
          <t>Bruit - EPI</t>
        </is>
      </c>
      <c r="C329" s="26" t="inlineStr">
        <is>
          <t>J.11</t>
        </is>
      </c>
      <c r="D329" s="6" t="inlineStr">
        <is>
          <t>Affichage 'port des protections auditives obligatoires' aux postes &gt; 85 dB(A)</t>
        </is>
      </c>
      <c r="E329" s="27" t="inlineStr">
        <is>
          <t>Art. R.4434-3</t>
        </is>
      </c>
      <c r="F329" s="11" t="n"/>
      <c r="G329" s="11" t="n"/>
      <c r="H329" s="11" t="n"/>
      <c r="I329" s="19" t="n"/>
      <c r="J329" s="19" t="n"/>
      <c r="K329" s="19" t="n"/>
      <c r="L329" s="19" t="n"/>
    </row>
    <row r="330">
      <c r="A330" s="25" t="inlineStr">
        <is>
          <t>J. Bruit, vibrations, ambiances physiques</t>
        </is>
      </c>
      <c r="B330" s="25" t="inlineStr">
        <is>
          <t>Bruit - Formation</t>
        </is>
      </c>
      <c r="C330" s="26" t="inlineStr">
        <is>
          <t>J.12</t>
        </is>
      </c>
      <c r="D330" s="6" t="inlineStr">
        <is>
          <t>Information et formation des travailleurs exposés</t>
        </is>
      </c>
      <c r="E330" s="27" t="inlineStr">
        <is>
          <t>Art. R.4436-1</t>
        </is>
      </c>
      <c r="F330" s="11" t="n"/>
      <c r="G330" s="11" t="n"/>
      <c r="H330" s="11" t="n"/>
      <c r="I330" s="19" t="n"/>
      <c r="J330" s="19" t="n"/>
      <c r="K330" s="19" t="n"/>
      <c r="L330" s="19" t="n"/>
    </row>
    <row r="331">
      <c r="A331" s="25" t="inlineStr">
        <is>
          <t>J. Bruit, vibrations, ambiances physiques</t>
        </is>
      </c>
      <c r="B331" s="25" t="inlineStr">
        <is>
          <t>Bruit - Médical</t>
        </is>
      </c>
      <c r="C331" s="26" t="inlineStr">
        <is>
          <t>J.13</t>
        </is>
      </c>
      <c r="D331" s="6" t="inlineStr">
        <is>
          <t>Audiogramme à l'embauche et suivi triennal</t>
        </is>
      </c>
      <c r="E331" s="27" t="inlineStr">
        <is>
          <t>Art. R.4435-2</t>
        </is>
      </c>
      <c r="F331" s="11" t="n"/>
      <c r="G331" s="11" t="n"/>
      <c r="H331" s="11" t="n"/>
      <c r="I331" s="19" t="n"/>
      <c r="J331" s="19" t="n"/>
      <c r="K331" s="19" t="n"/>
      <c r="L331" s="19" t="n"/>
    </row>
    <row r="332">
      <c r="A332" s="25" t="inlineStr">
        <is>
          <t>J. Bruit, vibrations, ambiances physiques</t>
        </is>
      </c>
      <c r="B332" s="25" t="inlineStr">
        <is>
          <t>Bruit - Réduction source</t>
        </is>
      </c>
      <c r="C332" s="26" t="inlineStr">
        <is>
          <t>J.14</t>
        </is>
      </c>
      <c r="D332" s="6" t="inlineStr">
        <is>
          <t>Achat outils à faible niveau sonore (étiquetage fournisseur)</t>
        </is>
      </c>
      <c r="E332" s="27" t="inlineStr">
        <is>
          <t>Art. R.4432-1</t>
        </is>
      </c>
      <c r="F332" s="11" t="n"/>
      <c r="G332" s="11" t="n"/>
      <c r="H332" s="11" t="n"/>
      <c r="I332" s="19" t="n"/>
      <c r="J332" s="19" t="n"/>
      <c r="K332" s="19" t="n"/>
      <c r="L332" s="19" t="n"/>
    </row>
    <row r="333">
      <c r="A333" s="25" t="inlineStr">
        <is>
          <t>J. Bruit, vibrations, ambiances physiques</t>
        </is>
      </c>
      <c r="B333" s="25" t="inlineStr">
        <is>
          <t>Bruit - Réduction source</t>
        </is>
      </c>
      <c r="C333" s="26" t="inlineStr">
        <is>
          <t>J.15</t>
        </is>
      </c>
      <c r="D333" s="6" t="inlineStr">
        <is>
          <t>Isolation acoustique des locaux générateurs de bruit</t>
        </is>
      </c>
      <c r="E333" s="27" t="inlineStr">
        <is>
          <t>Art. R.4432-1</t>
        </is>
      </c>
      <c r="F333" s="11" t="n"/>
      <c r="G333" s="11" t="n"/>
      <c r="H333" s="11" t="n"/>
      <c r="I333" s="19" t="n"/>
      <c r="J333" s="19" t="n"/>
      <c r="K333" s="19" t="n"/>
      <c r="L333" s="19" t="n"/>
    </row>
    <row r="334">
      <c r="A334" s="25" t="inlineStr">
        <is>
          <t>J. Bruit, vibrations, ambiances physiques</t>
        </is>
      </c>
      <c r="B334" s="25" t="inlineStr">
        <is>
          <t>Vibrations main-bras - Évaluation</t>
        </is>
      </c>
      <c r="C334" s="26" t="inlineStr">
        <is>
          <t>J.16</t>
        </is>
      </c>
      <c r="D334" s="6" t="inlineStr">
        <is>
          <t>Évaluation exposition vibrations main-bras</t>
        </is>
      </c>
      <c r="E334" s="27" t="inlineStr">
        <is>
          <t>Art. R.4444-2</t>
        </is>
      </c>
      <c r="F334" s="11" t="n"/>
      <c r="G334" s="11" t="n"/>
      <c r="H334" s="11" t="n"/>
      <c r="I334" s="19" t="n"/>
      <c r="J334" s="19" t="n"/>
      <c r="K334" s="19" t="n"/>
      <c r="L334" s="19" t="n"/>
    </row>
    <row r="335">
      <c r="A335" s="25" t="inlineStr">
        <is>
          <t>J. Bruit, vibrations, ambiances physiques</t>
        </is>
      </c>
      <c r="B335" s="25" t="inlineStr">
        <is>
          <t>Vibrations main-bras - Évaluation</t>
        </is>
      </c>
      <c r="C335" s="26" t="inlineStr">
        <is>
          <t>J.17</t>
        </is>
      </c>
      <c r="D335" s="6" t="inlineStr">
        <is>
          <t>Cartographie des outils vibrants par poste</t>
        </is>
      </c>
      <c r="E335" s="27" t="inlineStr">
        <is>
          <t>Art. R.4444-2</t>
        </is>
      </c>
      <c r="F335" s="11" t="n"/>
      <c r="G335" s="11" t="n"/>
      <c r="H335" s="11" t="n"/>
      <c r="I335" s="19" t="n"/>
      <c r="J335" s="19" t="n"/>
      <c r="K335" s="19" t="n"/>
      <c r="L335" s="19" t="n"/>
    </row>
    <row r="336">
      <c r="A336" s="25" t="inlineStr">
        <is>
          <t>J. Bruit, vibrations, ambiances physiques</t>
        </is>
      </c>
      <c r="B336" s="25" t="inlineStr">
        <is>
          <t>Vibrations main-bras - VLEP</t>
        </is>
      </c>
      <c r="C336" s="26" t="inlineStr">
        <is>
          <t>J.18</t>
        </is>
      </c>
      <c r="D336" s="6" t="inlineStr">
        <is>
          <t>VLEP A(8) = 5 m/s² respectée</t>
        </is>
      </c>
      <c r="E336" s="27" t="inlineStr">
        <is>
          <t>Art. R.4443-1</t>
        </is>
      </c>
      <c r="F336" s="11" t="n"/>
      <c r="G336" s="11" t="n"/>
      <c r="H336" s="11" t="n"/>
      <c r="I336" s="19" t="n"/>
      <c r="J336" s="19" t="n"/>
      <c r="K336" s="19" t="n"/>
      <c r="L336" s="19" t="n"/>
    </row>
    <row r="337">
      <c r="A337" s="25" t="inlineStr">
        <is>
          <t>J. Bruit, vibrations, ambiances physiques</t>
        </is>
      </c>
      <c r="B337" s="25" t="inlineStr">
        <is>
          <t>Vibrations main-bras - VLEP</t>
        </is>
      </c>
      <c r="C337" s="26" t="inlineStr">
        <is>
          <t>J.19</t>
        </is>
      </c>
      <c r="D337" s="6" t="inlineStr">
        <is>
          <t>Valeur d'action 2,5 m/s² — mesures de prévention</t>
        </is>
      </c>
      <c r="E337" s="27" t="inlineStr">
        <is>
          <t>Art. R.4445-1</t>
        </is>
      </c>
      <c r="F337" s="11" t="n"/>
      <c r="G337" s="11" t="n"/>
      <c r="H337" s="11" t="n"/>
      <c r="I337" s="19" t="n"/>
      <c r="J337" s="19" t="n"/>
      <c r="K337" s="19" t="n"/>
      <c r="L337" s="19" t="n"/>
    </row>
    <row r="338">
      <c r="A338" s="25" t="inlineStr">
        <is>
          <t>J. Bruit, vibrations, ambiances physiques</t>
        </is>
      </c>
      <c r="B338" s="25" t="inlineStr">
        <is>
          <t>Vibrations main-bras - Outils</t>
        </is>
      </c>
      <c r="C338" s="26" t="inlineStr">
        <is>
          <t>J.20</t>
        </is>
      </c>
      <c r="D338" s="6" t="inlineStr">
        <is>
          <t>Outils certifiés à faible niveau de vibration</t>
        </is>
      </c>
      <c r="E338" s="27" t="inlineStr">
        <is>
          <t>Art. R.4445-1</t>
        </is>
      </c>
      <c r="F338" s="11" t="n"/>
      <c r="G338" s="11" t="n"/>
      <c r="H338" s="11" t="n"/>
      <c r="I338" s="19" t="n"/>
      <c r="J338" s="19" t="n"/>
      <c r="K338" s="19" t="n"/>
      <c r="L338" s="19" t="n"/>
    </row>
    <row r="339">
      <c r="A339" s="25" t="inlineStr">
        <is>
          <t>J. Bruit, vibrations, ambiances physiques</t>
        </is>
      </c>
      <c r="B339" s="25" t="inlineStr">
        <is>
          <t>Vibrations main-bras - Outils</t>
        </is>
      </c>
      <c r="C339" s="26" t="inlineStr">
        <is>
          <t>J.21</t>
        </is>
      </c>
      <c r="D339" s="6" t="inlineStr">
        <is>
          <t>Gants antivibratiles si exposition régulière</t>
        </is>
      </c>
      <c r="E339" s="27" t="inlineStr">
        <is>
          <t>NF EN ISO 10819</t>
        </is>
      </c>
      <c r="F339" s="11" t="n"/>
      <c r="G339" s="11" t="n"/>
      <c r="H339" s="11" t="n"/>
      <c r="I339" s="19" t="n"/>
      <c r="J339" s="19" t="n"/>
      <c r="K339" s="19" t="n"/>
      <c r="L339" s="19" t="n"/>
    </row>
    <row r="340">
      <c r="A340" s="25" t="inlineStr">
        <is>
          <t>J. Bruit, vibrations, ambiances physiques</t>
        </is>
      </c>
      <c r="B340" s="25" t="inlineStr">
        <is>
          <t>Vibrations main-bras - Médical</t>
        </is>
      </c>
      <c r="C340" s="26" t="inlineStr">
        <is>
          <t>J.22</t>
        </is>
      </c>
      <c r="D340" s="6" t="inlineStr">
        <is>
          <t>Suivi médical des exposés (signes Raynaud)</t>
        </is>
      </c>
      <c r="E340" s="27" t="inlineStr">
        <is>
          <t>Art. R.4446-1</t>
        </is>
      </c>
      <c r="F340" s="11" t="n"/>
      <c r="G340" s="11" t="n"/>
      <c r="H340" s="11" t="n"/>
      <c r="I340" s="19" t="n"/>
      <c r="J340" s="19" t="n"/>
      <c r="K340" s="19" t="n"/>
      <c r="L340" s="19" t="n"/>
    </row>
    <row r="341">
      <c r="A341" s="25" t="inlineStr">
        <is>
          <t>J. Bruit, vibrations, ambiances physiques</t>
        </is>
      </c>
      <c r="B341" s="25" t="inlineStr">
        <is>
          <t>Vibrations main-bras - Rotation</t>
        </is>
      </c>
      <c r="C341" s="26" t="inlineStr">
        <is>
          <t>J.23</t>
        </is>
      </c>
      <c r="D341" s="6" t="inlineStr">
        <is>
          <t>Rotation des tâches vibrantes entre plusieurs salariés</t>
        </is>
      </c>
      <c r="E341" s="27" t="inlineStr">
        <is>
          <t>Art. R.4445-2</t>
        </is>
      </c>
      <c r="F341" s="11" t="n"/>
      <c r="G341" s="11" t="n"/>
      <c r="H341" s="11" t="n"/>
      <c r="I341" s="19" t="n"/>
      <c r="J341" s="19" t="n"/>
      <c r="K341" s="19" t="n"/>
      <c r="L341" s="19" t="n"/>
    </row>
    <row r="342">
      <c r="A342" s="25" t="inlineStr">
        <is>
          <t>J. Bruit, vibrations, ambiances physiques</t>
        </is>
      </c>
      <c r="B342" s="25" t="inlineStr">
        <is>
          <t>Éclairage</t>
        </is>
      </c>
      <c r="C342" s="26" t="inlineStr">
        <is>
          <t>J.24</t>
        </is>
      </c>
      <c r="D342" s="6" t="inlineStr">
        <is>
          <t>Éclairage minimum 200 lux aux postes de travail</t>
        </is>
      </c>
      <c r="E342" s="27" t="inlineStr">
        <is>
          <t>Art. R.4223-4</t>
        </is>
      </c>
      <c r="F342" s="11" t="n"/>
      <c r="G342" s="11" t="n"/>
      <c r="H342" s="11" t="n"/>
      <c r="I342" s="19" t="n"/>
      <c r="J342" s="19" t="n"/>
      <c r="K342" s="19" t="n"/>
      <c r="L342" s="19" t="n"/>
    </row>
    <row r="343">
      <c r="A343" s="25" t="inlineStr">
        <is>
          <t>J. Bruit, vibrations, ambiances physiques</t>
        </is>
      </c>
      <c r="B343" s="25" t="inlineStr">
        <is>
          <t>Éclairage</t>
        </is>
      </c>
      <c r="C343" s="26" t="inlineStr">
        <is>
          <t>J.25</t>
        </is>
      </c>
      <c r="D343" s="6" t="inlineStr">
        <is>
          <t>Éclairage 500 lux pour travail de précision</t>
        </is>
      </c>
      <c r="E343" s="27" t="inlineStr">
        <is>
          <t>Art. R.4223-4</t>
        </is>
      </c>
      <c r="F343" s="11" t="n"/>
      <c r="G343" s="11" t="n"/>
      <c r="H343" s="11" t="n"/>
      <c r="I343" s="19" t="n"/>
      <c r="J343" s="19" t="n"/>
      <c r="K343" s="19" t="n"/>
      <c r="L343" s="19" t="n"/>
    </row>
    <row r="344">
      <c r="A344" s="25" t="inlineStr">
        <is>
          <t>J. Bruit, vibrations, ambiances physiques</t>
        </is>
      </c>
      <c r="B344" s="25" t="inlineStr">
        <is>
          <t>Éclairage</t>
        </is>
      </c>
      <c r="C344" s="26" t="inlineStr">
        <is>
          <t>J.26</t>
        </is>
      </c>
      <c r="D344" s="6" t="inlineStr">
        <is>
          <t>Pas d'éblouissement direct ni par réflexion</t>
        </is>
      </c>
      <c r="E344" s="27" t="inlineStr">
        <is>
          <t>Art. R.4223-6</t>
        </is>
      </c>
      <c r="F344" s="11" t="n"/>
      <c r="G344" s="11" t="n"/>
      <c r="H344" s="11" t="n"/>
      <c r="I344" s="19" t="n"/>
      <c r="J344" s="19" t="n"/>
      <c r="K344" s="19" t="n"/>
      <c r="L344" s="19" t="n"/>
    </row>
    <row r="345">
      <c r="A345" s="25" t="inlineStr">
        <is>
          <t>J. Bruit, vibrations, ambiances physiques</t>
        </is>
      </c>
      <c r="B345" s="25" t="inlineStr">
        <is>
          <t>Éclairage</t>
        </is>
      </c>
      <c r="C345" s="26" t="inlineStr">
        <is>
          <t>J.27</t>
        </is>
      </c>
      <c r="D345" s="6" t="inlineStr">
        <is>
          <t>Maintenance des éclairages (remplacement préventif)</t>
        </is>
      </c>
      <c r="E345" s="27" t="inlineStr">
        <is>
          <t>Art. R.4223-9</t>
        </is>
      </c>
      <c r="F345" s="11" t="n"/>
      <c r="G345" s="11" t="n"/>
      <c r="H345" s="11" t="n"/>
      <c r="I345" s="19" t="n"/>
      <c r="J345" s="19" t="n"/>
      <c r="K345" s="19" t="n"/>
      <c r="L345" s="19" t="n"/>
    </row>
    <row r="346">
      <c r="A346" s="25" t="inlineStr">
        <is>
          <t>J. Bruit, vibrations, ambiances physiques</t>
        </is>
      </c>
      <c r="B346" s="25" t="inlineStr">
        <is>
          <t>Thermique</t>
        </is>
      </c>
      <c r="C346" s="26" t="inlineStr">
        <is>
          <t>J.28</t>
        </is>
      </c>
      <c r="D346" s="6" t="inlineStr">
        <is>
          <t>Locaux chauffés en saison froide (≥ 19°C en bureau)</t>
        </is>
      </c>
      <c r="E346" s="27" t="inlineStr">
        <is>
          <t>Art. R.4223-13</t>
        </is>
      </c>
      <c r="F346" s="11" t="n"/>
      <c r="G346" s="11" t="n"/>
      <c r="H346" s="11" t="n"/>
      <c r="I346" s="19" t="n"/>
      <c r="J346" s="19" t="n"/>
      <c r="K346" s="19" t="n"/>
      <c r="L346" s="19" t="n"/>
    </row>
    <row r="347">
      <c r="A347" s="25" t="inlineStr">
        <is>
          <t>J. Bruit, vibrations, ambiances physiques</t>
        </is>
      </c>
      <c r="B347" s="25" t="inlineStr">
        <is>
          <t>Thermique</t>
        </is>
      </c>
      <c r="C347" s="26" t="inlineStr">
        <is>
          <t>J.29</t>
        </is>
      </c>
      <c r="D347" s="6" t="inlineStr">
        <is>
          <t>Pas de courants d'air aux postes de travail</t>
        </is>
      </c>
      <c r="E347" s="27" t="inlineStr">
        <is>
          <t>Art. R.4223-14</t>
        </is>
      </c>
      <c r="F347" s="11" t="n"/>
      <c r="G347" s="11" t="n"/>
      <c r="H347" s="11" t="n"/>
      <c r="I347" s="19" t="n"/>
      <c r="J347" s="19" t="n"/>
      <c r="K347" s="19" t="n"/>
      <c r="L347" s="19" t="n"/>
    </row>
    <row r="348">
      <c r="A348" s="25" t="inlineStr">
        <is>
          <t>J. Bruit, vibrations, ambiances physiques</t>
        </is>
      </c>
      <c r="B348" s="25" t="inlineStr">
        <is>
          <t>Thermique</t>
        </is>
      </c>
      <c r="C348" s="26" t="inlineStr">
        <is>
          <t>J.30</t>
        </is>
      </c>
      <c r="D348" s="6" t="inlineStr">
        <is>
          <t>Aération mécanique ou naturelle suffisante (Art. R.4222-1 et s.)</t>
        </is>
      </c>
      <c r="E348" s="27" t="inlineStr">
        <is>
          <t>Art. R.4222-1</t>
        </is>
      </c>
      <c r="F348" s="11" t="n"/>
      <c r="G348" s="11" t="n"/>
      <c r="H348" s="11" t="n"/>
      <c r="I348" s="19" t="n"/>
      <c r="J348" s="19" t="n"/>
      <c r="K348" s="19" t="n"/>
      <c r="L348" s="19" t="n"/>
    </row>
    <row r="349">
      <c r="A349" s="25" t="inlineStr">
        <is>
          <t>J. Bruit, vibrations, ambiances physiques</t>
        </is>
      </c>
      <c r="B349" s="25" t="inlineStr">
        <is>
          <t>Thermique</t>
        </is>
      </c>
      <c r="C349" s="26" t="inlineStr">
        <is>
          <t>J.31</t>
        </is>
      </c>
      <c r="D349" s="6" t="inlineStr">
        <is>
          <t>Mesures spécifiques canicule (eau fraîche, pauses, adaptation horaires)</t>
        </is>
      </c>
      <c r="E349" s="27" t="inlineStr">
        <is>
          <t>Art. R.4225-1</t>
        </is>
      </c>
      <c r="F349" s="11" t="n"/>
      <c r="G349" s="11" t="n"/>
      <c r="H349" s="11" t="n"/>
      <c r="I349" s="19" t="n"/>
      <c r="J349" s="19" t="n"/>
      <c r="K349" s="19" t="n"/>
      <c r="L349" s="19" t="n"/>
    </row>
    <row r="350">
      <c r="A350" s="25" t="inlineStr">
        <is>
          <t>J. Bruit, vibrations, ambiances physiques</t>
        </is>
      </c>
      <c r="B350" s="25" t="inlineStr">
        <is>
          <t>Thermique</t>
        </is>
      </c>
      <c r="C350" s="26" t="inlineStr">
        <is>
          <t>J.32</t>
        </is>
      </c>
      <c r="D350" s="6" t="inlineStr">
        <is>
          <t>Mesures spécifiques grand froid (vêtements chauds, pauses chauffées)</t>
        </is>
      </c>
      <c r="E350" s="27" t="inlineStr">
        <is>
          <t>Art. R.4225-1</t>
        </is>
      </c>
      <c r="F350" s="11" t="n"/>
      <c r="G350" s="11" t="n"/>
      <c r="H350" s="11" t="n"/>
      <c r="I350" s="19" t="n"/>
      <c r="J350" s="19" t="n"/>
      <c r="K350" s="19" t="n"/>
      <c r="L350" s="19" t="n"/>
    </row>
    <row r="351">
      <c r="A351" s="25" t="inlineStr">
        <is>
          <t>J. Bruit, vibrations, ambiances physiques</t>
        </is>
      </c>
      <c r="B351" s="25" t="inlineStr">
        <is>
          <t>Rayonnements</t>
        </is>
      </c>
      <c r="C351" s="26" t="inlineStr">
        <is>
          <t>J.33</t>
        </is>
      </c>
      <c r="D351" s="6" t="inlineStr">
        <is>
          <t>Identification expositions aux rayonnements optiques (UV soudure)</t>
        </is>
      </c>
      <c r="E351" s="27" t="inlineStr">
        <is>
          <t>Art. R.4452-1</t>
        </is>
      </c>
      <c r="F351" s="11" t="n"/>
      <c r="G351" s="11" t="n"/>
      <c r="H351" s="11" t="n"/>
      <c r="I351" s="19" t="n"/>
      <c r="J351" s="19" t="n"/>
      <c r="K351" s="19" t="n"/>
      <c r="L351" s="19" t="n"/>
    </row>
    <row r="352">
      <c r="A352" s="25" t="inlineStr">
        <is>
          <t>J. Bruit, vibrations, ambiances physiques</t>
        </is>
      </c>
      <c r="B352" s="25" t="inlineStr">
        <is>
          <t>Rayonnements</t>
        </is>
      </c>
      <c r="C352" s="26" t="inlineStr">
        <is>
          <t>J.34</t>
        </is>
      </c>
      <c r="D352" s="6" t="inlineStr">
        <is>
          <t>EPI adaptés (lunettes filtrantes, écran soudure)</t>
        </is>
      </c>
      <c r="E352" s="27" t="inlineStr">
        <is>
          <t>Art. R.4452-26</t>
        </is>
      </c>
      <c r="F352" s="11" t="n"/>
      <c r="G352" s="11" t="n"/>
      <c r="H352" s="11" t="n"/>
      <c r="I352" s="19" t="n"/>
      <c r="J352" s="19" t="n"/>
      <c r="K352" s="19" t="n"/>
      <c r="L352" s="19" t="n"/>
    </row>
    <row r="353">
      <c r="A353" s="25" t="inlineStr">
        <is>
          <t>J. Bruit, vibrations, ambiances physiques</t>
        </is>
      </c>
      <c r="B353" s="25" t="inlineStr">
        <is>
          <t>Rayonnements</t>
        </is>
      </c>
      <c r="C353" s="26" t="inlineStr">
        <is>
          <t>J.35</t>
        </is>
      </c>
      <c r="D353" s="6" t="inlineStr">
        <is>
          <t>Pas de rayonnements ionisants (à confirmer IM2S)</t>
        </is>
      </c>
      <c r="E353" s="27" t="inlineStr">
        <is>
          <t>Code santé publique</t>
        </is>
      </c>
      <c r="F353" s="11" t="n"/>
      <c r="G353" s="11" t="n"/>
      <c r="H353" s="11" t="n"/>
      <c r="I353" s="19" t="n"/>
      <c r="J353" s="19" t="n"/>
      <c r="K353" s="19" t="n"/>
      <c r="L353" s="19" t="n"/>
    </row>
    <row r="354">
      <c r="A354" s="21" t="inlineStr">
        <is>
          <t>K. Organisation, formation, suivi</t>
        </is>
      </c>
      <c r="B354" s="21" t="inlineStr">
        <is>
          <t>DUERP</t>
        </is>
      </c>
      <c r="C354" s="22" t="inlineStr">
        <is>
          <t>K.01</t>
        </is>
      </c>
      <c r="D354" s="23" t="inlineStr">
        <is>
          <t>DUERP transcrit et mis à jour annuellement</t>
        </is>
      </c>
      <c r="E354" s="24" t="inlineStr">
        <is>
          <t>Art. R.4121-1</t>
        </is>
      </c>
      <c r="F354" s="11" t="n"/>
      <c r="G354" s="11" t="n"/>
      <c r="H354" s="11" t="n"/>
      <c r="I354" s="19" t="n"/>
      <c r="J354" s="19" t="n"/>
      <c r="K354" s="19" t="n"/>
      <c r="L354" s="19" t="n"/>
    </row>
    <row r="355">
      <c r="A355" s="21" t="inlineStr">
        <is>
          <t>K. Organisation, formation, suivi</t>
        </is>
      </c>
      <c r="B355" s="21" t="inlineStr">
        <is>
          <t>DUERP</t>
        </is>
      </c>
      <c r="C355" s="22" t="inlineStr">
        <is>
          <t>K.02</t>
        </is>
      </c>
      <c r="D355" s="23" t="inlineStr">
        <is>
          <t>DUERP mis à jour à chaque aménagement important</t>
        </is>
      </c>
      <c r="E355" s="24" t="inlineStr">
        <is>
          <t>Art. R.4121-2</t>
        </is>
      </c>
      <c r="F355" s="11" t="n"/>
      <c r="G355" s="11" t="n"/>
      <c r="H355" s="11" t="n"/>
      <c r="I355" s="19" t="n"/>
      <c r="J355" s="19" t="n"/>
      <c r="K355" s="19" t="n"/>
      <c r="L355" s="19" t="n"/>
    </row>
    <row r="356">
      <c r="A356" s="21" t="inlineStr">
        <is>
          <t>K. Organisation, formation, suivi</t>
        </is>
      </c>
      <c r="B356" s="21" t="inlineStr">
        <is>
          <t>DUERP</t>
        </is>
      </c>
      <c r="C356" s="22" t="inlineStr">
        <is>
          <t>K.03</t>
        </is>
      </c>
      <c r="D356" s="23" t="inlineStr">
        <is>
          <t>Conservation des versions du DUERP pendant 40 ans (loi 2021)</t>
        </is>
      </c>
      <c r="E356" s="24" t="inlineStr">
        <is>
          <t>Art. L.4121-3-1</t>
        </is>
      </c>
      <c r="F356" s="11" t="n"/>
      <c r="G356" s="11" t="n"/>
      <c r="H356" s="11" t="n"/>
      <c r="I356" s="19" t="n"/>
      <c r="J356" s="19" t="n"/>
      <c r="K356" s="19" t="n"/>
      <c r="L356" s="19" t="n"/>
    </row>
    <row r="357">
      <c r="A357" s="21" t="inlineStr">
        <is>
          <t>K. Organisation, formation, suivi</t>
        </is>
      </c>
      <c r="B357" s="21" t="inlineStr">
        <is>
          <t>DUERP</t>
        </is>
      </c>
      <c r="C357" s="22" t="inlineStr">
        <is>
          <t>K.04</t>
        </is>
      </c>
      <c r="D357" s="23" t="inlineStr">
        <is>
          <t>Mise à disposition aux salariés et représentants</t>
        </is>
      </c>
      <c r="E357" s="24" t="inlineStr">
        <is>
          <t>Art. R.4121-4</t>
        </is>
      </c>
      <c r="F357" s="11" t="n"/>
      <c r="G357" s="11" t="n"/>
      <c r="H357" s="11" t="n"/>
      <c r="I357" s="19" t="n"/>
      <c r="J357" s="19" t="n"/>
      <c r="K357" s="19" t="n"/>
      <c r="L357" s="19" t="n"/>
    </row>
    <row r="358">
      <c r="A358" s="21" t="inlineStr">
        <is>
          <t>K. Organisation, formation, suivi</t>
        </is>
      </c>
      <c r="B358" s="21" t="inlineStr">
        <is>
          <t>DUERP</t>
        </is>
      </c>
      <c r="C358" s="22" t="inlineStr">
        <is>
          <t>K.05</t>
        </is>
      </c>
      <c r="D358" s="23" t="inlineStr">
        <is>
          <t>Affichage de l'avis d'accès au DUERP</t>
        </is>
      </c>
      <c r="E358" s="24" t="inlineStr">
        <is>
          <t>Art. R.4121-4</t>
        </is>
      </c>
      <c r="F358" s="11" t="n"/>
      <c r="G358" s="11" t="n"/>
      <c r="H358" s="11" t="n"/>
      <c r="I358" s="19" t="n"/>
      <c r="J358" s="19" t="n"/>
      <c r="K358" s="19" t="n"/>
      <c r="L358" s="19" t="n"/>
    </row>
    <row r="359">
      <c r="A359" s="21" t="inlineStr">
        <is>
          <t>K. Organisation, formation, suivi</t>
        </is>
      </c>
      <c r="B359" s="21" t="inlineStr">
        <is>
          <t>Fiche entreprise</t>
        </is>
      </c>
      <c r="C359" s="22" t="inlineStr">
        <is>
          <t>K.06</t>
        </is>
      </c>
      <c r="D359" s="23" t="inlineStr">
        <is>
          <t>Fiche d'entreprise établie par le médecin du travail</t>
        </is>
      </c>
      <c r="E359" s="24" t="inlineStr">
        <is>
          <t>Art. R.4624-46</t>
        </is>
      </c>
      <c r="F359" s="11" t="n"/>
      <c r="G359" s="11" t="n"/>
      <c r="H359" s="11" t="n"/>
      <c r="I359" s="19" t="n"/>
      <c r="J359" s="19" t="n"/>
      <c r="K359" s="19" t="n"/>
      <c r="L359" s="19" t="n"/>
    </row>
    <row r="360">
      <c r="A360" s="21" t="inlineStr">
        <is>
          <t>K. Organisation, formation, suivi</t>
        </is>
      </c>
      <c r="B360" s="21" t="inlineStr">
        <is>
          <t>Fiche entreprise</t>
        </is>
      </c>
      <c r="C360" s="22" t="inlineStr">
        <is>
          <t>K.07</t>
        </is>
      </c>
      <c r="D360" s="23" t="inlineStr">
        <is>
          <t>Mise à jour annuelle de la fiche d'entreprise</t>
        </is>
      </c>
      <c r="E360" s="24" t="inlineStr">
        <is>
          <t>Art. R.4624-46</t>
        </is>
      </c>
      <c r="F360" s="11" t="n"/>
      <c r="G360" s="11" t="n"/>
      <c r="H360" s="11" t="n"/>
      <c r="I360" s="19" t="n"/>
      <c r="J360" s="19" t="n"/>
      <c r="K360" s="19" t="n"/>
      <c r="L360" s="19" t="n"/>
    </row>
    <row r="361">
      <c r="A361" s="21" t="inlineStr">
        <is>
          <t>K. Organisation, formation, suivi</t>
        </is>
      </c>
      <c r="B361" s="21" t="inlineStr">
        <is>
          <t>Affichages obligatoires</t>
        </is>
      </c>
      <c r="C361" s="22" t="inlineStr">
        <is>
          <t>K.08</t>
        </is>
      </c>
      <c r="D361" s="23" t="inlineStr">
        <is>
          <t>Affichage horaires de travail</t>
        </is>
      </c>
      <c r="E361" s="24" t="inlineStr">
        <is>
          <t>Art. D.3171-2</t>
        </is>
      </c>
      <c r="F361" s="11" t="n"/>
      <c r="G361" s="11" t="n"/>
      <c r="H361" s="11" t="n"/>
      <c r="I361" s="19" t="n"/>
      <c r="J361" s="19" t="n"/>
      <c r="K361" s="19" t="n"/>
      <c r="L361" s="19" t="n"/>
    </row>
    <row r="362">
      <c r="A362" s="21" t="inlineStr">
        <is>
          <t>K. Organisation, formation, suivi</t>
        </is>
      </c>
      <c r="B362" s="21" t="inlineStr">
        <is>
          <t>Affichages obligatoires</t>
        </is>
      </c>
      <c r="C362" s="22" t="inlineStr">
        <is>
          <t>K.09</t>
        </is>
      </c>
      <c r="D362" s="23" t="inlineStr">
        <is>
          <t>Affichage consignes incendie</t>
        </is>
      </c>
      <c r="E362" s="24" t="inlineStr">
        <is>
          <t>Art. R.4227-37</t>
        </is>
      </c>
      <c r="F362" s="11" t="n"/>
      <c r="G362" s="11" t="n"/>
      <c r="H362" s="11" t="n"/>
      <c r="I362" s="19" t="n"/>
      <c r="J362" s="19" t="n"/>
      <c r="K362" s="19" t="n"/>
      <c r="L362" s="19" t="n"/>
    </row>
    <row r="363">
      <c r="A363" s="21" t="inlineStr">
        <is>
          <t>K. Organisation, formation, suivi</t>
        </is>
      </c>
      <c r="B363" s="21" t="inlineStr">
        <is>
          <t>Affichages obligatoires</t>
        </is>
      </c>
      <c r="C363" s="22" t="inlineStr">
        <is>
          <t>K.10</t>
        </is>
      </c>
      <c r="D363" s="23" t="inlineStr">
        <is>
          <t>Affichage médecine du travail (nom, coordonnées)</t>
        </is>
      </c>
      <c r="E363" s="24" t="inlineStr">
        <is>
          <t>Art. D.4711-1</t>
        </is>
      </c>
      <c r="F363" s="11" t="n"/>
      <c r="G363" s="11" t="n"/>
      <c r="H363" s="11" t="n"/>
      <c r="I363" s="19" t="n"/>
      <c r="J363" s="19" t="n"/>
      <c r="K363" s="19" t="n"/>
      <c r="L363" s="19" t="n"/>
    </row>
    <row r="364">
      <c r="A364" s="21" t="inlineStr">
        <is>
          <t>K. Organisation, formation, suivi</t>
        </is>
      </c>
      <c r="B364" s="21" t="inlineStr">
        <is>
          <t>Affichages obligatoires</t>
        </is>
      </c>
      <c r="C364" s="22" t="inlineStr">
        <is>
          <t>K.11</t>
        </is>
      </c>
      <c r="D364" s="23" t="inlineStr">
        <is>
          <t>Affichage inspection du travail (nom, adresse)</t>
        </is>
      </c>
      <c r="E364" s="24" t="inlineStr">
        <is>
          <t>Art. D.4711-1</t>
        </is>
      </c>
      <c r="F364" s="11" t="n"/>
      <c r="G364" s="11" t="n"/>
      <c r="H364" s="11" t="n"/>
      <c r="I364" s="19" t="n"/>
      <c r="J364" s="19" t="n"/>
      <c r="K364" s="19" t="n"/>
      <c r="L364" s="19" t="n"/>
    </row>
    <row r="365">
      <c r="A365" s="21" t="inlineStr">
        <is>
          <t>K. Organisation, formation, suivi</t>
        </is>
      </c>
      <c r="B365" s="21" t="inlineStr">
        <is>
          <t>Affichages obligatoires</t>
        </is>
      </c>
      <c r="C365" s="22" t="inlineStr">
        <is>
          <t>K.12</t>
        </is>
      </c>
      <c r="D365" s="23" t="inlineStr">
        <is>
          <t>Affichage CARSAT, organismes de santé, urgences</t>
        </is>
      </c>
      <c r="E365" s="24" t="inlineStr">
        <is>
          <t>Art. D.4711-1</t>
        </is>
      </c>
      <c r="F365" s="11" t="n"/>
      <c r="G365" s="11" t="n"/>
      <c r="H365" s="11" t="n"/>
      <c r="I365" s="19" t="n"/>
      <c r="J365" s="19" t="n"/>
      <c r="K365" s="19" t="n"/>
      <c r="L365" s="19" t="n"/>
    </row>
    <row r="366">
      <c r="A366" s="21" t="inlineStr">
        <is>
          <t>K. Organisation, formation, suivi</t>
        </is>
      </c>
      <c r="B366" s="21" t="inlineStr">
        <is>
          <t>Affichages obligatoires</t>
        </is>
      </c>
      <c r="C366" s="22" t="inlineStr">
        <is>
          <t>K.13</t>
        </is>
      </c>
      <c r="D366" s="23" t="inlineStr">
        <is>
          <t>Affichage convention collective applicable</t>
        </is>
      </c>
      <c r="E366" s="24" t="inlineStr">
        <is>
          <t>Art. R.2262-1</t>
        </is>
      </c>
      <c r="F366" s="11" t="n"/>
      <c r="G366" s="11" t="n"/>
      <c r="H366" s="11" t="n"/>
      <c r="I366" s="19" t="n"/>
      <c r="J366" s="19" t="n"/>
      <c r="K366" s="19" t="n"/>
      <c r="L366" s="19" t="n"/>
    </row>
    <row r="367">
      <c r="A367" s="21" t="inlineStr">
        <is>
          <t>K. Organisation, formation, suivi</t>
        </is>
      </c>
      <c r="B367" s="21" t="inlineStr">
        <is>
          <t>Affichages obligatoires</t>
        </is>
      </c>
      <c r="C367" s="22" t="inlineStr">
        <is>
          <t>K.14</t>
        </is>
      </c>
      <c r="D367" s="23" t="inlineStr">
        <is>
          <t>Affichage interdiction de fumer / vapoter</t>
        </is>
      </c>
      <c r="E367" s="24" t="inlineStr">
        <is>
          <t>Décret 2006-1386</t>
        </is>
      </c>
      <c r="F367" s="11" t="n"/>
      <c r="G367" s="11" t="n"/>
      <c r="H367" s="11" t="n"/>
      <c r="I367" s="19" t="n"/>
      <c r="J367" s="19" t="n"/>
      <c r="K367" s="19" t="n"/>
      <c r="L367" s="19" t="n"/>
    </row>
    <row r="368">
      <c r="A368" s="21" t="inlineStr">
        <is>
          <t>K. Organisation, formation, suivi</t>
        </is>
      </c>
      <c r="B368" s="21" t="inlineStr">
        <is>
          <t>Affichages obligatoires</t>
        </is>
      </c>
      <c r="C368" s="22" t="inlineStr">
        <is>
          <t>K.15</t>
        </is>
      </c>
      <c r="D368" s="23" t="inlineStr">
        <is>
          <t>Affichage référent harcèlement</t>
        </is>
      </c>
      <c r="E368" s="24" t="inlineStr">
        <is>
          <t>Art. D.1151-1</t>
        </is>
      </c>
      <c r="F368" s="11" t="n"/>
      <c r="G368" s="11" t="n"/>
      <c r="H368" s="11" t="n"/>
      <c r="I368" s="19" t="n"/>
      <c r="J368" s="19" t="n"/>
      <c r="K368" s="19" t="n"/>
      <c r="L368" s="19" t="n"/>
    </row>
    <row r="369">
      <c r="A369" s="21" t="inlineStr">
        <is>
          <t>K. Organisation, formation, suivi</t>
        </is>
      </c>
      <c r="B369" s="21" t="inlineStr">
        <is>
          <t>Affichages obligatoires</t>
        </is>
      </c>
      <c r="C369" s="22" t="inlineStr">
        <is>
          <t>K.16</t>
        </is>
      </c>
      <c r="D369" s="23" t="inlineStr">
        <is>
          <t>Affichage congés payés et accords entreprise</t>
        </is>
      </c>
      <c r="E369" s="24" t="inlineStr">
        <is>
          <t>Art. D.3141-6</t>
        </is>
      </c>
      <c r="F369" s="11" t="n"/>
      <c r="G369" s="11" t="n"/>
      <c r="H369" s="11" t="n"/>
      <c r="I369" s="19" t="n"/>
      <c r="J369" s="19" t="n"/>
      <c r="K369" s="19" t="n"/>
      <c r="L369" s="19" t="n"/>
    </row>
    <row r="370">
      <c r="A370" s="21" t="inlineStr">
        <is>
          <t>K. Organisation, formation, suivi</t>
        </is>
      </c>
      <c r="B370" s="21" t="inlineStr">
        <is>
          <t>Registres</t>
        </is>
      </c>
      <c r="C370" s="22" t="inlineStr">
        <is>
          <t>K.17</t>
        </is>
      </c>
      <c r="D370" s="23" t="inlineStr">
        <is>
          <t>Registre des accidents du travail tenu à jour</t>
        </is>
      </c>
      <c r="E370" s="24" t="inlineStr">
        <is>
          <t>Art. L.441-1 CSS</t>
        </is>
      </c>
      <c r="F370" s="11" t="n"/>
      <c r="G370" s="11" t="n"/>
      <c r="H370" s="11" t="n"/>
      <c r="I370" s="19" t="n"/>
      <c r="J370" s="19" t="n"/>
      <c r="K370" s="19" t="n"/>
      <c r="L370" s="19" t="n"/>
    </row>
    <row r="371">
      <c r="A371" s="21" t="inlineStr">
        <is>
          <t>K. Organisation, formation, suivi</t>
        </is>
      </c>
      <c r="B371" s="21" t="inlineStr">
        <is>
          <t>Registres</t>
        </is>
      </c>
      <c r="C371" s="22" t="inlineStr">
        <is>
          <t>K.18</t>
        </is>
      </c>
      <c r="D371" s="23" t="inlineStr">
        <is>
          <t>Registre des accidents bénins (autorisation CARSAT préalable)</t>
        </is>
      </c>
      <c r="E371" s="24" t="inlineStr">
        <is>
          <t>Art. L.441-4 CSS</t>
        </is>
      </c>
      <c r="F371" s="11" t="n"/>
      <c r="G371" s="11" t="n"/>
      <c r="H371" s="11" t="n"/>
      <c r="I371" s="19" t="n"/>
      <c r="J371" s="19" t="n"/>
      <c r="K371" s="19" t="n"/>
      <c r="L371" s="19" t="n"/>
    </row>
    <row r="372">
      <c r="A372" s="21" t="inlineStr">
        <is>
          <t>K. Organisation, formation, suivi</t>
        </is>
      </c>
      <c r="B372" s="21" t="inlineStr">
        <is>
          <t>Registres</t>
        </is>
      </c>
      <c r="C372" s="22" t="inlineStr">
        <is>
          <t>K.19</t>
        </is>
      </c>
      <c r="D372" s="23" t="inlineStr">
        <is>
          <t>Registre hygiène et sécurité</t>
        </is>
      </c>
      <c r="E372" s="24" t="inlineStr">
        <is>
          <t>Art. L.4711-5</t>
        </is>
      </c>
      <c r="F372" s="11" t="n"/>
      <c r="G372" s="11" t="n"/>
      <c r="H372" s="11" t="n"/>
      <c r="I372" s="19" t="n"/>
      <c r="J372" s="19" t="n"/>
      <c r="K372" s="19" t="n"/>
      <c r="L372" s="19" t="n"/>
    </row>
    <row r="373">
      <c r="A373" s="21" t="inlineStr">
        <is>
          <t>K. Organisation, formation, suivi</t>
        </is>
      </c>
      <c r="B373" s="21" t="inlineStr">
        <is>
          <t>Registres</t>
        </is>
      </c>
      <c r="C373" s="22" t="inlineStr">
        <is>
          <t>K.20</t>
        </is>
      </c>
      <c r="D373" s="23" t="inlineStr">
        <is>
          <t>Registre incendie</t>
        </is>
      </c>
      <c r="E373" s="24" t="inlineStr">
        <is>
          <t>Art. R.4227-37</t>
        </is>
      </c>
      <c r="F373" s="11" t="n"/>
      <c r="G373" s="11" t="n"/>
      <c r="H373" s="11" t="n"/>
      <c r="I373" s="19" t="n"/>
      <c r="J373" s="19" t="n"/>
      <c r="K373" s="19" t="n"/>
      <c r="L373" s="19" t="n"/>
    </row>
    <row r="374">
      <c r="A374" s="21" t="inlineStr">
        <is>
          <t>K. Organisation, formation, suivi</t>
        </is>
      </c>
      <c r="B374" s="21" t="inlineStr">
        <is>
          <t>Registres</t>
        </is>
      </c>
      <c r="C374" s="22" t="inlineStr">
        <is>
          <t>K.21</t>
        </is>
      </c>
      <c r="D374" s="23" t="inlineStr">
        <is>
          <t>Registre des contrôles techniques (Q18, Q19, EPI antichute)</t>
        </is>
      </c>
      <c r="E374" s="24" t="inlineStr">
        <is>
          <t>Art. R.4226-7</t>
        </is>
      </c>
      <c r="F374" s="11" t="n"/>
      <c r="G374" s="11" t="n"/>
      <c r="H374" s="11" t="n"/>
      <c r="I374" s="19" t="n"/>
      <c r="J374" s="19" t="n"/>
      <c r="K374" s="19" t="n"/>
      <c r="L374" s="19" t="n"/>
    </row>
    <row r="375">
      <c r="A375" s="21" t="inlineStr">
        <is>
          <t>K. Organisation, formation, suivi</t>
        </is>
      </c>
      <c r="B375" s="21" t="inlineStr">
        <is>
          <t>Registres</t>
        </is>
      </c>
      <c r="C375" s="22" t="inlineStr">
        <is>
          <t>K.22</t>
        </is>
      </c>
      <c r="D375" s="23" t="inlineStr">
        <is>
          <t>Registre des plans de prévention signés</t>
        </is>
      </c>
      <c r="E375" s="24" t="inlineStr">
        <is>
          <t>Art. R.4512-13</t>
        </is>
      </c>
      <c r="F375" s="11" t="n"/>
      <c r="G375" s="11" t="n"/>
      <c r="H375" s="11" t="n"/>
      <c r="I375" s="19" t="n"/>
      <c r="J375" s="19" t="n"/>
      <c r="K375" s="19" t="n"/>
      <c r="L375" s="19" t="n"/>
    </row>
    <row r="376">
      <c r="A376" s="21" t="inlineStr">
        <is>
          <t>K. Organisation, formation, suivi</t>
        </is>
      </c>
      <c r="B376" s="21" t="inlineStr">
        <is>
          <t>Registres</t>
        </is>
      </c>
      <c r="C376" s="22" t="inlineStr">
        <is>
          <t>K.23</t>
        </is>
      </c>
      <c r="D376" s="23" t="inlineStr">
        <is>
          <t>Registre du personnel (unique)</t>
        </is>
      </c>
      <c r="E376" s="24" t="inlineStr">
        <is>
          <t>Art. L.1221-13</t>
        </is>
      </c>
      <c r="F376" s="11" t="n"/>
      <c r="G376" s="11" t="n"/>
      <c r="H376" s="11" t="n"/>
      <c r="I376" s="19" t="n"/>
      <c r="J376" s="19" t="n"/>
      <c r="K376" s="19" t="n"/>
      <c r="L376" s="19" t="n"/>
    </row>
    <row r="377">
      <c r="A377" s="21" t="inlineStr">
        <is>
          <t>K. Organisation, formation, suivi</t>
        </is>
      </c>
      <c r="B377" s="21" t="inlineStr">
        <is>
          <t>SST</t>
        </is>
      </c>
      <c r="C377" s="22" t="inlineStr">
        <is>
          <t>K.24</t>
        </is>
      </c>
      <c r="D377" s="23" t="inlineStr">
        <is>
          <t>Au moins 1 SST par site / par groupe (recommandation 15% effectif CNAM)</t>
        </is>
      </c>
      <c r="E377" s="24" t="inlineStr">
        <is>
          <t>Reco. CNAMTS</t>
        </is>
      </c>
      <c r="F377" s="11" t="n"/>
      <c r="G377" s="11" t="n"/>
      <c r="H377" s="11" t="n"/>
      <c r="I377" s="19" t="n"/>
      <c r="J377" s="19" t="n"/>
      <c r="K377" s="19" t="n"/>
      <c r="L377" s="19" t="n"/>
    </row>
    <row r="378">
      <c r="A378" s="21" t="inlineStr">
        <is>
          <t>K. Organisation, formation, suivi</t>
        </is>
      </c>
      <c r="B378" s="21" t="inlineStr">
        <is>
          <t>SST</t>
        </is>
      </c>
      <c r="C378" s="22" t="inlineStr">
        <is>
          <t>K.25</t>
        </is>
      </c>
      <c r="D378" s="23" t="inlineStr">
        <is>
          <t>Formation SST 14h initiale + MAC 7h tous les 24 mois</t>
        </is>
      </c>
      <c r="E378" s="24" t="inlineStr">
        <is>
          <t>Réf. INRS</t>
        </is>
      </c>
      <c r="F378" s="11" t="n"/>
      <c r="G378" s="11" t="n"/>
      <c r="H378" s="11" t="n"/>
      <c r="I378" s="19" t="n"/>
      <c r="J378" s="19" t="n"/>
      <c r="K378" s="19" t="n"/>
      <c r="L378" s="19" t="n"/>
    </row>
    <row r="379">
      <c r="A379" s="21" t="inlineStr">
        <is>
          <t>K. Organisation, formation, suivi</t>
        </is>
      </c>
      <c r="B379" s="21" t="inlineStr">
        <is>
          <t>SST</t>
        </is>
      </c>
      <c r="C379" s="22" t="inlineStr">
        <is>
          <t>K.26</t>
        </is>
      </c>
      <c r="D379" s="23" t="inlineStr">
        <is>
          <t>Identification des SST par badge ou affichage</t>
        </is>
      </c>
      <c r="E379" s="24" t="inlineStr">
        <is>
          <t>Bonne pratique</t>
        </is>
      </c>
      <c r="F379" s="11" t="n"/>
      <c r="G379" s="11" t="n"/>
      <c r="H379" s="11" t="n"/>
      <c r="I379" s="19" t="n"/>
      <c r="J379" s="19" t="n"/>
      <c r="K379" s="19" t="n"/>
      <c r="L379" s="19" t="n"/>
    </row>
    <row r="380">
      <c r="A380" s="21" t="inlineStr">
        <is>
          <t>K. Organisation, formation, suivi</t>
        </is>
      </c>
      <c r="B380" s="21" t="inlineStr">
        <is>
          <t>Accueil sécurité</t>
        </is>
      </c>
      <c r="C380" s="22" t="inlineStr">
        <is>
          <t>K.27</t>
        </is>
      </c>
      <c r="D380" s="23" t="inlineStr">
        <is>
          <t>Accueil sécurité formalisé pour chaque nouvel arrivant et intérimaire</t>
        </is>
      </c>
      <c r="E380" s="24" t="inlineStr">
        <is>
          <t>Art. R.4141-2</t>
        </is>
      </c>
      <c r="F380" s="11" t="n"/>
      <c r="G380" s="11" t="n"/>
      <c r="H380" s="11" t="n"/>
      <c r="I380" s="19" t="n"/>
      <c r="J380" s="19" t="n"/>
      <c r="K380" s="19" t="n"/>
      <c r="L380" s="19" t="n"/>
    </row>
    <row r="381">
      <c r="A381" s="21" t="inlineStr">
        <is>
          <t>K. Organisation, formation, suivi</t>
        </is>
      </c>
      <c r="B381" s="21" t="inlineStr">
        <is>
          <t>Accueil sécurité</t>
        </is>
      </c>
      <c r="C381" s="22" t="inlineStr">
        <is>
          <t>K.28</t>
        </is>
      </c>
      <c r="D381" s="23" t="inlineStr">
        <is>
          <t>Présentation DUERP + RI + EPI + consignes urgence + référent harcèlement</t>
        </is>
      </c>
      <c r="E381" s="24" t="inlineStr">
        <is>
          <t>Art. R.4141-3</t>
        </is>
      </c>
      <c r="F381" s="11" t="n"/>
      <c r="G381" s="11" t="n"/>
      <c r="H381" s="11" t="n"/>
      <c r="I381" s="19" t="n"/>
      <c r="J381" s="19" t="n"/>
      <c r="K381" s="19" t="n"/>
      <c r="L381" s="19" t="n"/>
    </row>
    <row r="382">
      <c r="A382" s="21" t="inlineStr">
        <is>
          <t>K. Organisation, formation, suivi</t>
        </is>
      </c>
      <c r="B382" s="21" t="inlineStr">
        <is>
          <t>Accueil sécurité</t>
        </is>
      </c>
      <c r="C382" s="22" t="inlineStr">
        <is>
          <t>K.29</t>
        </is>
      </c>
      <c r="D382" s="23" t="inlineStr">
        <is>
          <t>Visite des locaux et identification des issues de secours</t>
        </is>
      </c>
      <c r="E382" s="24" t="inlineStr">
        <is>
          <t>Bonne pratique</t>
        </is>
      </c>
      <c r="F382" s="11" t="n"/>
      <c r="G382" s="11" t="n"/>
      <c r="H382" s="11" t="n"/>
      <c r="I382" s="19" t="n"/>
      <c r="J382" s="19" t="n"/>
      <c r="K382" s="19" t="n"/>
      <c r="L382" s="19" t="n"/>
    </row>
    <row r="383">
      <c r="A383" s="21" t="inlineStr">
        <is>
          <t>K. Organisation, formation, suivi</t>
        </is>
      </c>
      <c r="B383" s="21" t="inlineStr">
        <is>
          <t>Accueil sécurité</t>
        </is>
      </c>
      <c r="C383" s="22" t="inlineStr">
        <is>
          <t>K.30</t>
        </is>
      </c>
      <c r="D383" s="23" t="inlineStr">
        <is>
          <t>Trace écrite de l'accueil signée (attestation détachable)</t>
        </is>
      </c>
      <c r="E383" s="24" t="inlineStr">
        <is>
          <t>Bonne pratique</t>
        </is>
      </c>
      <c r="F383" s="11" t="n"/>
      <c r="G383" s="11" t="n"/>
      <c r="H383" s="11" t="n"/>
      <c r="I383" s="19" t="n"/>
      <c r="J383" s="19" t="n"/>
      <c r="K383" s="19" t="n"/>
      <c r="L383" s="19" t="n"/>
    </row>
    <row r="384">
      <c r="A384" s="21" t="inlineStr">
        <is>
          <t>K. Organisation, formation, suivi</t>
        </is>
      </c>
      <c r="B384" s="21" t="inlineStr">
        <is>
          <t>Formation initiale</t>
        </is>
      </c>
      <c r="C384" s="22" t="inlineStr">
        <is>
          <t>K.31</t>
        </is>
      </c>
      <c r="D384" s="23" t="inlineStr">
        <is>
          <t>Formation à la sécurité initiale renforcée pour postes à risques</t>
        </is>
      </c>
      <c r="E384" s="24" t="inlineStr">
        <is>
          <t>Art. L.4141-2</t>
        </is>
      </c>
      <c r="F384" s="11" t="n"/>
      <c r="G384" s="11" t="n"/>
      <c r="H384" s="11" t="n"/>
      <c r="I384" s="19" t="n"/>
      <c r="J384" s="19" t="n"/>
      <c r="K384" s="19" t="n"/>
      <c r="L384" s="19" t="n"/>
    </row>
    <row r="385">
      <c r="A385" s="21" t="inlineStr">
        <is>
          <t>K. Organisation, formation, suivi</t>
        </is>
      </c>
      <c r="B385" s="21" t="inlineStr">
        <is>
          <t>Formation continue</t>
        </is>
      </c>
      <c r="C385" s="22" t="inlineStr">
        <is>
          <t>K.32</t>
        </is>
      </c>
      <c r="D385" s="23" t="inlineStr">
        <is>
          <t>Plan de formation HSE annuel</t>
        </is>
      </c>
      <c r="E385" s="24" t="inlineStr">
        <is>
          <t>Art. L.6321-1</t>
        </is>
      </c>
      <c r="F385" s="11" t="n"/>
      <c r="G385" s="11" t="n"/>
      <c r="H385" s="11" t="n"/>
      <c r="I385" s="19" t="n"/>
      <c r="J385" s="19" t="n"/>
      <c r="K385" s="19" t="n"/>
      <c r="L385" s="19" t="n"/>
    </row>
    <row r="386">
      <c r="A386" s="21" t="inlineStr">
        <is>
          <t>K. Organisation, formation, suivi</t>
        </is>
      </c>
      <c r="B386" s="21" t="inlineStr">
        <is>
          <t>Formation continue</t>
        </is>
      </c>
      <c r="C386" s="22" t="inlineStr">
        <is>
          <t>K.33</t>
        </is>
      </c>
      <c r="D386" s="23" t="inlineStr">
        <is>
          <t>Budget formation HSE alloué (idéal ≥ 1% masse salariale)</t>
        </is>
      </c>
      <c r="E386" s="24" t="inlineStr">
        <is>
          <t>Art. L.6331-1</t>
        </is>
      </c>
      <c r="F386" s="11" t="n"/>
      <c r="G386" s="11" t="n"/>
      <c r="H386" s="11" t="n"/>
      <c r="I386" s="19" t="n"/>
      <c r="J386" s="19" t="n"/>
      <c r="K386" s="19" t="n"/>
      <c r="L386" s="19" t="n"/>
    </row>
    <row r="387">
      <c r="A387" s="21" t="inlineStr">
        <is>
          <t>K. Organisation, formation, suivi</t>
        </is>
      </c>
      <c r="B387" s="21" t="inlineStr">
        <is>
          <t>Indicateurs</t>
        </is>
      </c>
      <c r="C387" s="22" t="inlineStr">
        <is>
          <t>K.34</t>
        </is>
      </c>
      <c r="D387" s="23" t="inlineStr">
        <is>
          <t>Suivi du Taux de Fréquence (TF) annuel</t>
        </is>
      </c>
      <c r="E387" s="24" t="inlineStr">
        <is>
          <t>INRS</t>
        </is>
      </c>
      <c r="F387" s="11" t="n"/>
      <c r="G387" s="11" t="n"/>
      <c r="H387" s="11" t="n"/>
      <c r="I387" s="19" t="n"/>
      <c r="J387" s="19" t="n"/>
      <c r="K387" s="19" t="n"/>
      <c r="L387" s="19" t="n"/>
    </row>
    <row r="388">
      <c r="A388" s="21" t="inlineStr">
        <is>
          <t>K. Organisation, formation, suivi</t>
        </is>
      </c>
      <c r="B388" s="21" t="inlineStr">
        <is>
          <t>Indicateurs</t>
        </is>
      </c>
      <c r="C388" s="22" t="inlineStr">
        <is>
          <t>K.35</t>
        </is>
      </c>
      <c r="D388" s="23" t="inlineStr">
        <is>
          <t>Suivi du Taux de Gravité (TG) annuel</t>
        </is>
      </c>
      <c r="E388" s="24" t="inlineStr">
        <is>
          <t>INRS</t>
        </is>
      </c>
      <c r="F388" s="11" t="n"/>
      <c r="G388" s="11" t="n"/>
      <c r="H388" s="11" t="n"/>
      <c r="I388" s="19" t="n"/>
      <c r="J388" s="19" t="n"/>
      <c r="K388" s="19" t="n"/>
      <c r="L388" s="19" t="n"/>
    </row>
    <row r="389">
      <c r="A389" s="21" t="inlineStr">
        <is>
          <t>K. Organisation, formation, suivi</t>
        </is>
      </c>
      <c r="B389" s="21" t="inlineStr">
        <is>
          <t>Indicateurs</t>
        </is>
      </c>
      <c r="C389" s="22" t="inlineStr">
        <is>
          <t>K.36</t>
        </is>
      </c>
      <c r="D389" s="23" t="inlineStr">
        <is>
          <t>Comparaison TF/TG vs moyenne sectorielle (NAF 43.21A : 2,5-3%)</t>
        </is>
      </c>
      <c r="E389" s="24" t="inlineStr">
        <is>
          <t>CARSAT</t>
        </is>
      </c>
      <c r="F389" s="11" t="n"/>
      <c r="G389" s="11" t="n"/>
      <c r="H389" s="11" t="n"/>
      <c r="I389" s="19" t="n"/>
      <c r="J389" s="19" t="n"/>
      <c r="K389" s="19" t="n"/>
      <c r="L389" s="19" t="n"/>
    </row>
    <row r="390">
      <c r="A390" s="21" t="inlineStr">
        <is>
          <t>K. Organisation, formation, suivi</t>
        </is>
      </c>
      <c r="B390" s="21" t="inlineStr">
        <is>
          <t>Indicateurs</t>
        </is>
      </c>
      <c r="C390" s="22" t="inlineStr">
        <is>
          <t>K.37</t>
        </is>
      </c>
      <c r="D390" s="23" t="inlineStr">
        <is>
          <t>Nombre de presque-accidents remontés annuellement (signal positif)</t>
        </is>
      </c>
      <c r="E390" s="24" t="inlineStr">
        <is>
          <t>Pyramide Bird</t>
        </is>
      </c>
      <c r="F390" s="11" t="n"/>
      <c r="G390" s="11" t="n"/>
      <c r="H390" s="11" t="n"/>
      <c r="I390" s="19" t="n"/>
      <c r="J390" s="19" t="n"/>
      <c r="K390" s="19" t="n"/>
      <c r="L390" s="19" t="n"/>
    </row>
    <row r="391">
      <c r="A391" s="21" t="inlineStr">
        <is>
          <t>K. Organisation, formation, suivi</t>
        </is>
      </c>
      <c r="B391" s="21" t="inlineStr">
        <is>
          <t>Indicateurs</t>
        </is>
      </c>
      <c r="C391" s="22" t="inlineStr">
        <is>
          <t>K.38</t>
        </is>
      </c>
      <c r="D391" s="23" t="inlineStr">
        <is>
          <t>Visites médicales à jour : 100%</t>
        </is>
      </c>
      <c r="E391" s="24" t="inlineStr">
        <is>
          <t>Art. R.4624-10</t>
        </is>
      </c>
      <c r="F391" s="11" t="n"/>
      <c r="G391" s="11" t="n"/>
      <c r="H391" s="11" t="n"/>
      <c r="I391" s="19" t="n"/>
      <c r="J391" s="19" t="n"/>
      <c r="K391" s="19" t="n"/>
      <c r="L391" s="19" t="n"/>
    </row>
    <row r="392">
      <c r="A392" s="21" t="inlineStr">
        <is>
          <t>K. Organisation, formation, suivi</t>
        </is>
      </c>
      <c r="B392" s="21" t="inlineStr">
        <is>
          <t>Revue annuelle</t>
        </is>
      </c>
      <c r="C392" s="22" t="inlineStr">
        <is>
          <t>K.39</t>
        </is>
      </c>
      <c r="D392" s="23" t="inlineStr">
        <is>
          <t>Revue annuelle du DUERP avec restitution aux salariés</t>
        </is>
      </c>
      <c r="E392" s="24" t="inlineStr">
        <is>
          <t>Art. R.4121-2</t>
        </is>
      </c>
      <c r="F392" s="11" t="n"/>
      <c r="G392" s="11" t="n"/>
      <c r="H392" s="11" t="n"/>
      <c r="I392" s="19" t="n"/>
      <c r="J392" s="19" t="n"/>
      <c r="K392" s="19" t="n"/>
      <c r="L392" s="19" t="n"/>
    </row>
    <row r="393">
      <c r="A393" s="21" t="inlineStr">
        <is>
          <t>K. Organisation, formation, suivi</t>
        </is>
      </c>
      <c r="B393" s="21" t="inlineStr">
        <is>
          <t>Revue annuelle</t>
        </is>
      </c>
      <c r="C393" s="22" t="inlineStr">
        <is>
          <t>K.40</t>
        </is>
      </c>
      <c r="D393" s="23" t="inlineStr">
        <is>
          <t>Discussion avec médecin du travail des résultats</t>
        </is>
      </c>
      <c r="E393" s="24" t="inlineStr">
        <is>
          <t>Bonne pratique</t>
        </is>
      </c>
      <c r="F393" s="11" t="n"/>
      <c r="G393" s="11" t="n"/>
      <c r="H393" s="11" t="n"/>
      <c r="I393" s="19" t="n"/>
      <c r="J393" s="19" t="n"/>
      <c r="K393" s="19" t="n"/>
      <c r="L393" s="19" t="n"/>
    </row>
    <row r="394">
      <c r="A394" s="21" t="inlineStr">
        <is>
          <t>K. Organisation, formation, suivi</t>
        </is>
      </c>
      <c r="B394" s="21" t="inlineStr">
        <is>
          <t>Représentation personnel</t>
        </is>
      </c>
      <c r="C394" s="22" t="inlineStr">
        <is>
          <t>K.41</t>
        </is>
      </c>
      <c r="D394" s="23" t="inlineStr">
        <is>
          <t>Élection de représentants personnel si effectif ≥ 11</t>
        </is>
      </c>
      <c r="E394" s="24" t="inlineStr">
        <is>
          <t>Art. L.2311-2</t>
        </is>
      </c>
      <c r="F394" s="11" t="n"/>
      <c r="G394" s="11" t="n"/>
      <c r="H394" s="11" t="n"/>
      <c r="I394" s="19" t="n"/>
      <c r="J394" s="19" t="n"/>
      <c r="K394" s="19" t="n"/>
      <c r="L394" s="19" t="n"/>
    </row>
    <row r="395">
      <c r="A395" s="21" t="inlineStr">
        <is>
          <t>K. Organisation, formation, suivi</t>
        </is>
      </c>
      <c r="B395" s="21" t="inlineStr">
        <is>
          <t>Représentation personnel</t>
        </is>
      </c>
      <c r="C395" s="22" t="inlineStr">
        <is>
          <t>K.42</t>
        </is>
      </c>
      <c r="D395" s="23" t="inlineStr">
        <is>
          <t>Élection CSE si effectif ≥ 11</t>
        </is>
      </c>
      <c r="E395" s="24" t="inlineStr">
        <is>
          <t>Art. L.2311-2</t>
        </is>
      </c>
      <c r="F395" s="11" t="n"/>
      <c r="G395" s="11" t="n"/>
      <c r="H395" s="11" t="n"/>
      <c r="I395" s="19" t="n"/>
      <c r="J395" s="19" t="n"/>
      <c r="K395" s="19" t="n"/>
      <c r="L395" s="19" t="n"/>
    </row>
    <row r="396">
      <c r="A396" s="21" t="inlineStr">
        <is>
          <t>K. Organisation, formation, suivi</t>
        </is>
      </c>
      <c r="B396" s="21" t="inlineStr">
        <is>
          <t>Représentation personnel</t>
        </is>
      </c>
      <c r="C396" s="22" t="inlineStr">
        <is>
          <t>K.43</t>
        </is>
      </c>
      <c r="D396" s="23" t="inlineStr">
        <is>
          <t>Réunions périodiques avec représentants</t>
        </is>
      </c>
      <c r="E396" s="24" t="inlineStr">
        <is>
          <t>Art. L.2315-21</t>
        </is>
      </c>
      <c r="F396" s="11" t="n"/>
      <c r="G396" s="11" t="n"/>
      <c r="H396" s="11" t="n"/>
      <c r="I396" s="19" t="n"/>
      <c r="J396" s="19" t="n"/>
      <c r="K396" s="19" t="n"/>
      <c r="L396" s="19" t="n"/>
    </row>
    <row r="397">
      <c r="A397" s="21" t="inlineStr">
        <is>
          <t>K. Organisation, formation, suivi</t>
        </is>
      </c>
      <c r="B397" s="21" t="inlineStr">
        <is>
          <t>Communication</t>
        </is>
      </c>
      <c r="C397" s="22" t="inlineStr">
        <is>
          <t>K.44</t>
        </is>
      </c>
      <c r="D397" s="23" t="inlineStr">
        <is>
          <t>Causeries sécurité ≥ 6 par an</t>
        </is>
      </c>
      <c r="E397" s="24" t="inlineStr">
        <is>
          <t>Bonne pratique</t>
        </is>
      </c>
      <c r="F397" s="11" t="n"/>
      <c r="G397" s="11" t="n"/>
      <c r="H397" s="11" t="n"/>
      <c r="I397" s="19" t="n"/>
      <c r="J397" s="19" t="n"/>
      <c r="K397" s="19" t="n"/>
      <c r="L397" s="19" t="n"/>
    </row>
    <row r="398">
      <c r="A398" s="21" t="inlineStr">
        <is>
          <t>K. Organisation, formation, suivi</t>
        </is>
      </c>
      <c r="B398" s="21" t="inlineStr">
        <is>
          <t>Communication</t>
        </is>
      </c>
      <c r="C398" s="22" t="inlineStr">
        <is>
          <t>K.45</t>
        </is>
      </c>
      <c r="D398" s="23" t="inlineStr">
        <is>
          <t>Plan de communication HSE (newsletter, réunions, affichages)</t>
        </is>
      </c>
      <c r="E398" s="24" t="inlineStr">
        <is>
          <t>Bonne pratique</t>
        </is>
      </c>
      <c r="F398" s="11" t="n"/>
      <c r="G398" s="11" t="n"/>
      <c r="H398" s="11" t="n"/>
      <c r="I398" s="19" t="n"/>
      <c r="J398" s="19" t="n"/>
      <c r="K398" s="19" t="n"/>
      <c r="L398" s="19" t="n"/>
    </row>
  </sheetData>
  <conditionalFormatting sqref="G2:G398">
    <cfRule type="cellIs" priority="1" operator="equal" dxfId="0">
      <formula>4</formula>
    </cfRule>
    <cfRule type="cellIs" priority="2" operator="equal" dxfId="1">
      <formula>3</formula>
    </cfRule>
    <cfRule type="cellIs" priority="3" operator="equal" dxfId="2">
      <formula>2</formula>
    </cfRule>
    <cfRule type="cellIs" priority="4" operator="equal" dxfId="3">
      <formula>1</formula>
    </cfRule>
  </conditionalFormatting>
  <conditionalFormatting sqref="F2:F398">
    <cfRule type="cellIs" priority="5" operator="equal" dxfId="0">
      <formula>"Non"</formula>
    </cfRule>
    <cfRule type="cellIs" priority="6" operator="equal" dxfId="3">
      <formula>"Oui"</formula>
    </cfRule>
    <cfRule type="cellIs" priority="7" operator="equal" dxfId="4">
      <formula>"Non renseigné"</formula>
    </cfRule>
  </conditionalFormatting>
  <dataValidations count="3">
    <dataValidation sqref="F2:F398" showDropDown="0" showInputMessage="0" showErrorMessage="0" allowBlank="1" error="Choisir Oui / Non / Non renseigné / Sans objet" type="list">
      <formula1>"Oui,Non,Non renseigné,Sans objet"</formula1>
    </dataValidation>
    <dataValidation sqref="G2:G398" showDropDown="0" showInputMessage="0" showErrorMessage="0" allowBlank="1" type="list">
      <formula1>"1,2,3,4"</formula1>
    </dataValidation>
    <dataValidation sqref="H2:H398" showDropDown="0" showInputMessage="0" showErrorMessage="0" allowBlank="1" type="list">
      <formula1>"Bonne,Partielle,Faible,Sans objet"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8" t="inlineStr">
        <is>
          <t>PLAN D'ACTION HSE</t>
        </is>
      </c>
    </row>
    <row r="4">
      <c r="B4" s="6" t="inlineStr">
        <is>
          <t>Utilisation : ce plan d'action se construit automatiquement à partir des non-conformités identifiées dans la feuille « Audit ». Pour le générer manuellement, filtrer la feuille « Audit » sur Réponse = Non OU Note ≥ 3, et copier les actions dans le tableau ci-dessous, ou utiliser le filtre AutoFilter directement.</t>
        </is>
      </c>
    </row>
    <row r="5"/>
    <row r="6"/>
    <row r="8" ht="30" customHeight="1">
      <c r="B8" s="9" t="inlineStr">
        <is>
          <t>Code critère</t>
        </is>
      </c>
      <c r="C8" s="9" t="inlineStr">
        <is>
          <t>Catégorie</t>
        </is>
      </c>
      <c r="D8" s="9" t="inlineStr">
        <is>
          <t>Action corrective</t>
        </is>
      </c>
      <c r="E8" s="9" t="inlineStr">
        <is>
          <t>Échéance</t>
        </is>
      </c>
      <c r="F8" s="9" t="inlineStr">
        <is>
          <t>Responsable</t>
        </is>
      </c>
      <c r="G8" s="9" t="inlineStr">
        <is>
          <t>État</t>
        </is>
      </c>
      <c r="H8" s="9" t="inlineStr">
        <is>
          <t>Date réalisation</t>
        </is>
      </c>
      <c r="I8" s="9" t="inlineStr">
        <is>
          <t>Coût estimé</t>
        </is>
      </c>
    </row>
    <row r="9"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B10" s="19" t="n"/>
      <c r="C10" s="19" t="n"/>
      <c r="D10" s="19" t="n"/>
      <c r="E10" s="19" t="n"/>
      <c r="F10" s="19" t="n"/>
      <c r="G10" s="19" t="n"/>
      <c r="H10" s="19" t="n"/>
      <c r="I10" s="19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</row>
    <row r="17"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B18" s="19" t="n"/>
      <c r="C18" s="19" t="n"/>
      <c r="D18" s="19" t="n"/>
      <c r="E18" s="19" t="n"/>
      <c r="F18" s="19" t="n"/>
      <c r="G18" s="19" t="n"/>
      <c r="H18" s="19" t="n"/>
      <c r="I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</row>
    <row r="21"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>
      <c r="B22" s="19" t="n"/>
      <c r="C22" s="19" t="n"/>
      <c r="D22" s="19" t="n"/>
      <c r="E22" s="19" t="n"/>
      <c r="F22" s="19" t="n"/>
      <c r="G22" s="19" t="n"/>
      <c r="H22" s="19" t="n"/>
      <c r="I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</row>
    <row r="25"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>
      <c r="B26" s="19" t="n"/>
      <c r="C26" s="19" t="n"/>
      <c r="D26" s="19" t="n"/>
      <c r="E26" s="19" t="n"/>
      <c r="F26" s="19" t="n"/>
      <c r="G26" s="19" t="n"/>
      <c r="H26" s="19" t="n"/>
      <c r="I26" s="19" t="n"/>
    </row>
    <row r="27"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>
      <c r="B28" s="19" t="n"/>
      <c r="C28" s="19" t="n"/>
      <c r="D28" s="19" t="n"/>
      <c r="E28" s="19" t="n"/>
      <c r="F28" s="19" t="n"/>
      <c r="G28" s="19" t="n"/>
      <c r="H28" s="19" t="n"/>
      <c r="I28" s="19" t="n"/>
    </row>
  </sheetData>
  <mergeCells count="2">
    <mergeCell ref="B4:H6"/>
    <mergeCell ref="B2:H2"/>
  </mergeCells>
  <dataValidations count="1">
    <dataValidation sqref="G9:G28" showDropDown="0" showInputMessage="0" showErrorMessage="0" allowBlank="1" type="list">
      <formula1>"À faire,En cours,Fait,Reporté,Annulé"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G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>
      <c r="A2" s="8" t="inlineStr">
        <is>
          <t>INDICATEURS DE SUIVI HSE</t>
        </is>
      </c>
    </row>
    <row r="4" ht="30" customHeight="1">
      <c r="A4" s="9" t="inlineStr">
        <is>
          <t>Indicateur</t>
        </is>
      </c>
      <c r="B4" s="9" t="inlineStr">
        <is>
          <t>Cible 2026</t>
        </is>
      </c>
      <c r="C4" s="9" t="inlineStr">
        <is>
          <t>Périodicité</t>
        </is>
      </c>
      <c r="D4" s="9" t="inlineStr">
        <is>
          <t>Source</t>
        </is>
      </c>
      <c r="E4" s="9" t="inlineStr">
        <is>
          <t>Valeur 2024</t>
        </is>
      </c>
      <c r="F4" s="9" t="inlineStr">
        <is>
          <t>Valeur 2025</t>
        </is>
      </c>
      <c r="G4" s="9" t="inlineStr">
        <is>
          <t>Valeur 2026</t>
        </is>
      </c>
    </row>
    <row r="5">
      <c r="A5" s="19" t="inlineStr">
        <is>
          <t>Taux d'habilitations électriques en cours de validité</t>
        </is>
      </c>
      <c r="B5" s="11" t="inlineStr">
        <is>
          <t>100%</t>
        </is>
      </c>
      <c r="C5" s="11" t="inlineStr">
        <is>
          <t>Trimestrielle</t>
        </is>
      </c>
      <c r="D5" s="19" t="inlineStr">
        <is>
          <t>Tableau habilitations</t>
        </is>
      </c>
      <c r="E5" s="11" t="inlineStr"/>
      <c r="F5" s="11" t="inlineStr"/>
      <c r="G5" s="11" t="inlineStr"/>
    </row>
    <row r="6">
      <c r="A6" s="16" t="inlineStr">
        <is>
          <t>Nb de SST formés en cours de validité</t>
        </is>
      </c>
      <c r="B6" s="28" t="inlineStr">
        <is>
          <t>≥ 2 / 14 ETP</t>
        </is>
      </c>
      <c r="C6" s="28" t="inlineStr">
        <is>
          <t>Annuelle</t>
        </is>
      </c>
      <c r="D6" s="16" t="inlineStr">
        <is>
          <t>Registre formations</t>
        </is>
      </c>
      <c r="E6" s="28" t="inlineStr"/>
      <c r="F6" s="28" t="inlineStr"/>
      <c r="G6" s="28" t="inlineStr"/>
    </row>
    <row r="7">
      <c r="A7" s="19" t="inlineStr">
        <is>
          <t>Nb de causeries sécurité réalisées</t>
        </is>
      </c>
      <c r="B7" s="11" t="inlineStr">
        <is>
          <t>≥ 6 / an</t>
        </is>
      </c>
      <c r="C7" s="11" t="inlineStr">
        <is>
          <t>Trimestrielle</t>
        </is>
      </c>
      <c r="D7" s="19" t="inlineStr">
        <is>
          <t>CR causeries</t>
        </is>
      </c>
      <c r="E7" s="11" t="inlineStr"/>
      <c r="F7" s="11" t="inlineStr"/>
      <c r="G7" s="11" t="inlineStr"/>
    </row>
    <row r="8">
      <c r="A8" s="16" t="inlineStr">
        <is>
          <t>Nb d'exercices d'évacuation (siège)</t>
        </is>
      </c>
      <c r="B8" s="28" t="inlineStr">
        <is>
          <t>≥ 2 / an</t>
        </is>
      </c>
      <c r="C8" s="28" t="inlineStr">
        <is>
          <t>Annuelle</t>
        </is>
      </c>
      <c r="D8" s="16" t="inlineStr">
        <is>
          <t>CR exercices</t>
        </is>
      </c>
      <c r="E8" s="28" t="inlineStr"/>
      <c r="F8" s="28" t="inlineStr"/>
      <c r="G8" s="28" t="inlineStr"/>
    </row>
    <row r="9">
      <c r="A9" s="19" t="inlineStr">
        <is>
          <t>Taux de salariés formés PRAP (gestes &amp; postures)</t>
        </is>
      </c>
      <c r="B9" s="11" t="inlineStr">
        <is>
          <t>100% UT2-3-4-5</t>
        </is>
      </c>
      <c r="C9" s="11" t="inlineStr">
        <is>
          <t>Semestrielle</t>
        </is>
      </c>
      <c r="D9" s="19" t="inlineStr">
        <is>
          <t>Attestations PRAP</t>
        </is>
      </c>
      <c r="E9" s="11" t="inlineStr"/>
      <c r="F9" s="11" t="inlineStr"/>
      <c r="G9" s="11" t="inlineStr"/>
    </row>
    <row r="10">
      <c r="A10" s="16" t="inlineStr">
        <is>
          <t>Nb de permis de feu délivrés</t>
        </is>
      </c>
      <c r="B10" s="28" t="inlineStr">
        <is>
          <t>100% points chauds</t>
        </is>
      </c>
      <c r="C10" s="28" t="inlineStr">
        <is>
          <t>Trimestrielle</t>
        </is>
      </c>
      <c r="D10" s="16" t="inlineStr">
        <is>
          <t>Registre chantiers</t>
        </is>
      </c>
      <c r="E10" s="28" t="inlineStr"/>
      <c r="F10" s="28" t="inlineStr"/>
      <c r="G10" s="28" t="inlineStr"/>
    </row>
    <row r="11">
      <c r="A11" s="19" t="inlineStr">
        <is>
          <t>Plans de prévention signés</t>
        </is>
      </c>
      <c r="B11" s="11" t="inlineStr">
        <is>
          <t>100% &gt; 400h ou TD</t>
        </is>
      </c>
      <c r="C11" s="11" t="inlineStr">
        <is>
          <t>Trimestrielle</t>
        </is>
      </c>
      <c r="D11" s="19" t="inlineStr">
        <is>
          <t>Registre PdP</t>
        </is>
      </c>
      <c r="E11" s="11" t="inlineStr"/>
      <c r="F11" s="11" t="inlineStr"/>
      <c r="G11" s="11" t="inlineStr"/>
    </row>
    <row r="12">
      <c r="A12" s="16" t="inlineStr">
        <is>
          <t>Cartes BTP valides</t>
        </is>
      </c>
      <c r="B12" s="28" t="inlineStr">
        <is>
          <t>100%</t>
        </is>
      </c>
      <c r="C12" s="28" t="inlineStr">
        <is>
          <t>Trimestrielle</t>
        </is>
      </c>
      <c r="D12" s="16" t="inlineStr">
        <is>
          <t>Tableau RH</t>
        </is>
      </c>
      <c r="E12" s="28" t="inlineStr"/>
      <c r="F12" s="28" t="inlineStr"/>
      <c r="G12" s="28" t="inlineStr"/>
    </row>
    <row r="13">
      <c r="A13" s="19" t="inlineStr">
        <is>
          <t>Taux de fréquence AT (TF)</t>
        </is>
      </c>
      <c r="B13" s="11" t="inlineStr">
        <is>
          <t>&lt; moyenne NAF 43.21A</t>
        </is>
      </c>
      <c r="C13" s="11" t="inlineStr">
        <is>
          <t>Annuelle</t>
        </is>
      </c>
      <c r="D13" s="19" t="inlineStr">
        <is>
          <t>CARSAT</t>
        </is>
      </c>
      <c r="E13" s="11" t="inlineStr"/>
      <c r="F13" s="11" t="inlineStr"/>
      <c r="G13" s="11" t="inlineStr"/>
    </row>
    <row r="14">
      <c r="A14" s="16" t="inlineStr">
        <is>
          <t>Taux de gravité AT (TG)</t>
        </is>
      </c>
      <c r="B14" s="28" t="inlineStr">
        <is>
          <t>&lt; moyenne NAF 43.21A</t>
        </is>
      </c>
      <c r="C14" s="28" t="inlineStr">
        <is>
          <t>Annuelle</t>
        </is>
      </c>
      <c r="D14" s="16" t="inlineStr">
        <is>
          <t>CARSAT</t>
        </is>
      </c>
      <c r="E14" s="28" t="inlineStr"/>
      <c r="F14" s="28" t="inlineStr"/>
      <c r="G14" s="28" t="inlineStr"/>
    </row>
    <row r="15">
      <c r="A15" s="19" t="inlineStr">
        <is>
          <t>Nb de presque-accidents remontés (signal positif)</t>
        </is>
      </c>
      <c r="B15" s="11" t="inlineStr">
        <is>
          <t>≥ 6 / an</t>
        </is>
      </c>
      <c r="C15" s="11" t="inlineStr">
        <is>
          <t>Mensuelle</t>
        </is>
      </c>
      <c r="D15" s="19" t="inlineStr">
        <is>
          <t>Registre HS</t>
        </is>
      </c>
      <c r="E15" s="11" t="inlineStr"/>
      <c r="F15" s="11" t="inlineStr"/>
      <c r="G15" s="11" t="inlineStr"/>
    </row>
    <row r="16">
      <c r="A16" s="16" t="inlineStr">
        <is>
          <t>Visites médicales à jour</t>
        </is>
      </c>
      <c r="B16" s="28" t="inlineStr">
        <is>
          <t>100%</t>
        </is>
      </c>
      <c r="C16" s="28" t="inlineStr">
        <is>
          <t>Trimestrielle</t>
        </is>
      </c>
      <c r="D16" s="16" t="inlineStr">
        <is>
          <t>Service Santé Travail</t>
        </is>
      </c>
      <c r="E16" s="28" t="inlineStr"/>
      <c r="F16" s="28" t="inlineStr"/>
      <c r="G16" s="28" t="inlineStr"/>
    </row>
    <row r="17">
      <c r="A17" s="19" t="inlineStr">
        <is>
          <t>Budget HSE alloué (% masse salariale)</t>
        </is>
      </c>
      <c r="B17" s="11" t="inlineStr">
        <is>
          <t>≥ 1%</t>
        </is>
      </c>
      <c r="C17" s="11" t="inlineStr">
        <is>
          <t>Annuelle</t>
        </is>
      </c>
      <c r="D17" s="19" t="inlineStr">
        <is>
          <t>Comptabilité</t>
        </is>
      </c>
      <c r="E17" s="11" t="inlineStr"/>
      <c r="F17" s="11" t="inlineStr"/>
      <c r="G17" s="11" t="inlineStr"/>
    </row>
    <row r="18">
      <c r="A18" s="16" t="inlineStr">
        <is>
          <t>Habilitations SS4 amiante en cours de validité</t>
        </is>
      </c>
      <c r="B18" s="28" t="inlineStr">
        <is>
          <t>100% techniciens</t>
        </is>
      </c>
      <c r="C18" s="28" t="inlineStr">
        <is>
          <t>Annuelle</t>
        </is>
      </c>
      <c r="D18" s="16" t="inlineStr">
        <is>
          <t>Tableau habilitations</t>
        </is>
      </c>
      <c r="E18" s="28" t="inlineStr"/>
      <c r="F18" s="28" t="inlineStr"/>
      <c r="G18" s="28" t="inlineStr"/>
    </row>
    <row r="19">
      <c r="A19" s="19" t="inlineStr">
        <is>
          <t>Q18 / Q19 levés dans les 3 mois</t>
        </is>
      </c>
      <c r="B19" s="11" t="inlineStr">
        <is>
          <t>100%</t>
        </is>
      </c>
      <c r="C19" s="11" t="inlineStr">
        <is>
          <t>Annuelle</t>
        </is>
      </c>
      <c r="D19" s="19" t="inlineStr">
        <is>
          <t>Rapports vérification</t>
        </is>
      </c>
      <c r="E19" s="11" t="inlineStr"/>
      <c r="F19" s="11" t="inlineStr"/>
      <c r="G19" s="11" t="inlineStr"/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2026-05-27T15:24:32Z</dcterms:created>
  <dcterms:modified xmlns:dcterms="http://purl.org/dc/terms/" xmlns:xsi="http://www.w3.org/2001/XMLSchema-instance" xsi:type="dcterms:W3CDTF">2026-05-27T15:24:32Z</dcterms:modified>
</cp:coreProperties>
</file>